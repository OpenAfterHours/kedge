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Fee Schedule" sheetId="2" state="visible" r:id="rId2"/>
    <sheet xmlns:r="http://schemas.openxmlformats.org/officeDocument/2006/relationships" name="Working" sheetId="3" state="visible" r:id="rId3"/>
    <sheet xmlns:r="http://schemas.openxmlformats.org/officeDocument/2006/relationships" name="Overrides" sheetId="4" state="visible" r:id="rId4"/>
    <sheet xmlns:r="http://schemas.openxmlformats.org/officeDocument/2006/relationships" name="Allocation" sheetId="5" state="visible" r:id="rId5"/>
    <sheet xmlns:r="http://schemas.openxmlformats.org/officeDocument/2006/relationships" name="Summary" sheetId="6" state="visible" r:id="rId6"/>
    <sheet xmlns:r="http://schemas.openxmlformats.org/officeDocument/2006/relationships" name="Post" sheetId="7" state="visible" r:id="rId7"/>
    <sheet xmlns:r="http://schemas.openxmlformats.org/officeDocument/2006/relationships" name="Entity Map" sheetId="8" state="visible" r:id="rId8"/>
    <sheet xmlns:r="http://schemas.openxmlformats.org/officeDocument/2006/relationships" name="Recon" sheetId="9" state="visible" r:id="rId9"/>
    <sheet xmlns:r="http://schemas.openxmlformats.org/officeDocument/2006/relationships" name="Sign-off" sheetId="10" state="visible" r:id="rId10"/>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font>
    <font>
      <name val="Consolas"/>
      <sz val="9"/>
    </font>
    <font>
      <b val="1"/>
      <sz val="12"/>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5"/>
  <sheetViews>
    <sheetView workbookViewId="0">
      <selection activeCell="A1" sqref="A1"/>
    </sheetView>
  </sheetViews>
  <sheetFormatPr baseColWidth="8" defaultRowHeight="15"/>
  <sheetData>
    <row r="1">
      <c r="A1" s="1" t="inlineStr">
        <is>
          <t>Positions extract -- run this against the warehouse, paste below</t>
        </is>
      </c>
    </row>
    <row r="3">
      <c r="A3" s="2" t="inlineStr">
        <is>
          <t>SELECT</t>
        </is>
      </c>
    </row>
    <row r="4">
      <c r="A4" s="2" t="inlineStr">
        <is>
          <t xml:space="preserve">       p.client_code,</t>
        </is>
      </c>
    </row>
    <row r="5">
      <c r="A5" s="2" t="inlineStr">
        <is>
          <t xml:space="preserve">       p.client_name,</t>
        </is>
      </c>
    </row>
    <row r="6">
      <c r="A6" s="2" t="inlineStr">
        <is>
          <t xml:space="preserve">       p.as_of_date,</t>
        </is>
      </c>
    </row>
    <row r="7">
      <c r="A7" s="2" t="inlineStr">
        <is>
          <t xml:space="preserve">       p.period_month,</t>
        </is>
      </c>
    </row>
    <row r="8">
      <c r="A8" s="2" t="inlineStr">
        <is>
          <t xml:space="preserve">       p.mandate,</t>
        </is>
      </c>
    </row>
    <row r="9">
      <c r="A9" s="2" t="inlineStr">
        <is>
          <t xml:space="preserve">       p.market_value_gbp</t>
        </is>
      </c>
    </row>
    <row r="10">
      <c r="A10" s="2" t="inlineStr">
        <is>
          <t xml:space="preserve">  FROM fin.positions p</t>
        </is>
      </c>
    </row>
    <row r="11">
      <c r="A11" s="2" t="inlineStr">
        <is>
          <t xml:space="preserve">  JOIN fin.mandates m</t>
        </is>
      </c>
    </row>
    <row r="12">
      <c r="A12" s="2" t="inlineStr">
        <is>
          <t xml:space="preserve">    ON m.client_code = p.client_code</t>
        </is>
      </c>
    </row>
    <row r="13">
      <c r="A13" s="2" t="inlineStr">
        <is>
          <t xml:space="preserve"> WHERE p.period_month IN ('2026-10', '2026-11')</t>
        </is>
      </c>
    </row>
    <row r="14">
      <c r="A14" s="2" t="inlineStr">
        <is>
          <t xml:space="preserve">   AND p.status &lt;&gt; 'CLOSED'</t>
        </is>
      </c>
    </row>
    <row r="15">
      <c r="A15" s="2" t="inlineStr">
        <is>
          <t xml:space="preserve"> ORDER BY p.client_code, p.as_of_date</t>
        </is>
      </c>
    </row>
    <row r="17">
      <c r="A17" s="1" t="inlineStr">
        <is>
          <t>client_code</t>
        </is>
      </c>
      <c r="B17" s="1" t="inlineStr">
        <is>
          <t>client_name</t>
        </is>
      </c>
      <c r="C17" s="1" t="inlineStr">
        <is>
          <t>as_of_date</t>
        </is>
      </c>
      <c r="D17" s="1" t="inlineStr">
        <is>
          <t>period_month</t>
        </is>
      </c>
      <c r="E17" s="1" t="inlineStr">
        <is>
          <t>mandate</t>
        </is>
      </c>
      <c r="F17" s="1" t="inlineStr">
        <is>
          <t>market_value_gbp</t>
        </is>
      </c>
    </row>
    <row r="18">
      <c r="A18" t="inlineStr">
        <is>
          <t>00001</t>
        </is>
      </c>
      <c r="B18" t="inlineStr">
        <is>
          <t>Client 001 Holdings</t>
        </is>
      </c>
      <c r="C18" s="3" t="n">
        <v>46323</v>
      </c>
      <c r="D18" t="inlineStr">
        <is>
          <t>2026-10</t>
        </is>
      </c>
      <c r="E18" t="inlineStr">
        <is>
          <t>Balanced</t>
        </is>
      </c>
      <c r="F18" t="n">
        <v>8277234.35</v>
      </c>
    </row>
    <row r="19">
      <c r="A19" t="inlineStr">
        <is>
          <t>00001</t>
        </is>
      </c>
      <c r="B19" t="inlineStr">
        <is>
          <t>Client 001 Holdings</t>
        </is>
      </c>
      <c r="C19" s="3" t="n">
        <v>46354</v>
      </c>
      <c r="D19" t="inlineStr">
        <is>
          <t>2026-11</t>
        </is>
      </c>
      <c r="E19" t="inlineStr">
        <is>
          <t>Balanced</t>
        </is>
      </c>
      <c r="F19" t="n">
        <v>14800745.5</v>
      </c>
    </row>
    <row r="20">
      <c r="A20" t="inlineStr">
        <is>
          <t>00002</t>
        </is>
      </c>
      <c r="B20" t="inlineStr">
        <is>
          <t>Client 002 Holdings</t>
        </is>
      </c>
      <c r="C20" s="3" t="n">
        <v>46323</v>
      </c>
      <c r="D20" t="inlineStr">
        <is>
          <t>2026-10</t>
        </is>
      </c>
      <c r="E20" t="inlineStr">
        <is>
          <t>Equity</t>
        </is>
      </c>
      <c r="F20" t="n">
        <v>17676688.21</v>
      </c>
    </row>
    <row r="21">
      <c r="A21" t="inlineStr">
        <is>
          <t>00002</t>
        </is>
      </c>
      <c r="B21" t="inlineStr">
        <is>
          <t>Client 002 Holdings</t>
        </is>
      </c>
      <c r="C21" s="3" t="n">
        <v>46354</v>
      </c>
      <c r="D21" t="inlineStr">
        <is>
          <t>2026-11</t>
        </is>
      </c>
      <c r="E21" t="inlineStr">
        <is>
          <t>Equity</t>
        </is>
      </c>
      <c r="F21" t="n">
        <v>89021932.86</v>
      </c>
    </row>
    <row r="22">
      <c r="A22" t="inlineStr">
        <is>
          <t>00003</t>
        </is>
      </c>
      <c r="B22" t="inlineStr">
        <is>
          <t>Client 003 Holdings</t>
        </is>
      </c>
      <c r="C22" s="3" t="n">
        <v>46323</v>
      </c>
      <c r="D22" t="inlineStr">
        <is>
          <t>2026-10</t>
        </is>
      </c>
      <c r="E22" t="inlineStr">
        <is>
          <t>Fixed Income</t>
        </is>
      </c>
      <c r="F22" t="n">
        <v>73487515.31</v>
      </c>
    </row>
    <row r="23">
      <c r="A23" t="inlineStr">
        <is>
          <t>00003</t>
        </is>
      </c>
      <c r="B23" t="inlineStr">
        <is>
          <t>Client 003 Holdings</t>
        </is>
      </c>
      <c r="C23" s="3" t="n">
        <v>46354</v>
      </c>
      <c r="D23" t="inlineStr">
        <is>
          <t>2026-11</t>
        </is>
      </c>
      <c r="E23" t="inlineStr">
        <is>
          <t>Fixed Income</t>
        </is>
      </c>
      <c r="F23" t="n">
        <v>5158139.95</v>
      </c>
    </row>
    <row r="24">
      <c r="A24" t="inlineStr">
        <is>
          <t>00004</t>
        </is>
      </c>
      <c r="B24" t="inlineStr">
        <is>
          <t>Client 004 Holdings</t>
        </is>
      </c>
      <c r="C24" s="3" t="n">
        <v>46323</v>
      </c>
      <c r="D24" t="inlineStr">
        <is>
          <t>2026-10</t>
        </is>
      </c>
      <c r="E24" t="inlineStr">
        <is>
          <t>Balanced</t>
        </is>
      </c>
      <c r="F24" t="n">
        <v>23039688.47</v>
      </c>
    </row>
    <row r="25">
      <c r="A25" t="inlineStr">
        <is>
          <t>00004</t>
        </is>
      </c>
      <c r="B25" t="inlineStr">
        <is>
          <t>Client 004 Holdings</t>
        </is>
      </c>
      <c r="C25" s="3" t="n">
        <v>46354</v>
      </c>
      <c r="D25" t="inlineStr">
        <is>
          <t>2026-11</t>
        </is>
      </c>
      <c r="E25" t="inlineStr">
        <is>
          <t>Balanced</t>
        </is>
      </c>
      <c r="F25" t="n">
        <v>66635792.28</v>
      </c>
    </row>
    <row r="26">
      <c r="A26" t="inlineStr">
        <is>
          <t>00005</t>
        </is>
      </c>
      <c r="B26" t="inlineStr">
        <is>
          <t>Client 005 Holdings</t>
        </is>
      </c>
      <c r="C26" s="3" t="n">
        <v>46323</v>
      </c>
      <c r="D26" t="inlineStr">
        <is>
          <t>2026-10</t>
        </is>
      </c>
      <c r="E26" t="inlineStr">
        <is>
          <t>Equity</t>
        </is>
      </c>
      <c r="F26" t="n">
        <v>63333653.09</v>
      </c>
    </row>
    <row r="27">
      <c r="A27" t="inlineStr">
        <is>
          <t>00005</t>
        </is>
      </c>
      <c r="B27" t="inlineStr">
        <is>
          <t>Client 005 Holdings</t>
        </is>
      </c>
      <c r="C27" s="3" t="n">
        <v>46354</v>
      </c>
      <c r="D27" t="inlineStr">
        <is>
          <t>2026-11</t>
        </is>
      </c>
      <c r="E27" t="inlineStr">
        <is>
          <t>Equity</t>
        </is>
      </c>
      <c r="F27" t="n">
        <v>10520983.57</v>
      </c>
    </row>
    <row r="28">
      <c r="A28" t="inlineStr">
        <is>
          <t>00006</t>
        </is>
      </c>
      <c r="B28" t="inlineStr">
        <is>
          <t>Client 006 Holdings</t>
        </is>
      </c>
      <c r="C28" s="3" t="n">
        <v>46323</v>
      </c>
      <c r="D28" t="inlineStr">
        <is>
          <t>2026-10</t>
        </is>
      </c>
      <c r="E28" t="inlineStr">
        <is>
          <t>Fixed Income</t>
        </is>
      </c>
      <c r="F28" t="n">
        <v>40888443.27</v>
      </c>
    </row>
    <row r="29">
      <c r="A29" t="inlineStr">
        <is>
          <t>00006</t>
        </is>
      </c>
      <c r="B29" t="inlineStr">
        <is>
          <t>Client 006 Holdings</t>
        </is>
      </c>
      <c r="C29" s="3" t="n">
        <v>46354</v>
      </c>
      <c r="D29" t="inlineStr">
        <is>
          <t>2026-11</t>
        </is>
      </c>
      <c r="E29" t="inlineStr">
        <is>
          <t>Fixed Income</t>
        </is>
      </c>
      <c r="F29" t="n">
        <v>17237751.46</v>
      </c>
    </row>
    <row r="30">
      <c r="A30" t="inlineStr">
        <is>
          <t>00007</t>
        </is>
      </c>
      <c r="B30" t="inlineStr">
        <is>
          <t>Client 007 Holdings</t>
        </is>
      </c>
      <c r="C30" s="3" t="n">
        <v>46323</v>
      </c>
      <c r="D30" t="inlineStr">
        <is>
          <t>2026-10</t>
        </is>
      </c>
      <c r="E30" t="inlineStr">
        <is>
          <t>Balanced</t>
        </is>
      </c>
      <c r="F30" t="n">
        <v>58018817.14</v>
      </c>
    </row>
    <row r="31">
      <c r="A31" t="inlineStr">
        <is>
          <t>00007</t>
        </is>
      </c>
      <c r="B31" t="inlineStr">
        <is>
          <t>Client 007 Holdings</t>
        </is>
      </c>
      <c r="C31" s="3" t="n">
        <v>46354</v>
      </c>
      <c r="D31" t="inlineStr">
        <is>
          <t>2026-11</t>
        </is>
      </c>
      <c r="E31" t="inlineStr">
        <is>
          <t>Balanced</t>
        </is>
      </c>
      <c r="F31" t="n">
        <v>16332070.89</v>
      </c>
    </row>
    <row r="32">
      <c r="A32" t="inlineStr">
        <is>
          <t>00008</t>
        </is>
      </c>
      <c r="B32" t="inlineStr">
        <is>
          <t>Client 008 Holdings</t>
        </is>
      </c>
      <c r="C32" s="3" t="n">
        <v>46323</v>
      </c>
      <c r="D32" t="inlineStr">
        <is>
          <t>2026-10</t>
        </is>
      </c>
      <c r="E32" t="inlineStr">
        <is>
          <t>Equity</t>
        </is>
      </c>
      <c r="F32" t="n">
        <v>29048632.21</v>
      </c>
    </row>
    <row r="33">
      <c r="A33" t="inlineStr">
        <is>
          <t>00008</t>
        </is>
      </c>
      <c r="B33" t="inlineStr">
        <is>
          <t>Client 008 Holdings</t>
        </is>
      </c>
      <c r="C33" s="3" t="n">
        <v>46354</v>
      </c>
      <c r="D33" t="inlineStr">
        <is>
          <t>2026-11</t>
        </is>
      </c>
      <c r="E33" t="inlineStr">
        <is>
          <t>Equity</t>
        </is>
      </c>
      <c r="F33" t="n">
        <v>66818137.36</v>
      </c>
    </row>
    <row r="34">
      <c r="A34" t="inlineStr">
        <is>
          <t>00009</t>
        </is>
      </c>
      <c r="B34" t="inlineStr">
        <is>
          <t>Client 009 Holdings</t>
        </is>
      </c>
      <c r="C34" s="3" t="n">
        <v>46323</v>
      </c>
      <c r="D34" t="inlineStr">
        <is>
          <t>2026-10</t>
        </is>
      </c>
      <c r="E34" t="inlineStr">
        <is>
          <t>Fixed Income</t>
        </is>
      </c>
      <c r="F34" t="n">
        <v>30750459.97</v>
      </c>
    </row>
    <row r="35">
      <c r="A35" t="inlineStr">
        <is>
          <t>00009</t>
        </is>
      </c>
      <c r="B35" t="inlineStr">
        <is>
          <t>Client 009 Holdings</t>
        </is>
      </c>
      <c r="C35" s="3" t="n">
        <v>46354</v>
      </c>
      <c r="D35" t="inlineStr">
        <is>
          <t>2026-11</t>
        </is>
      </c>
      <c r="E35" t="inlineStr">
        <is>
          <t>Fixed Income</t>
        </is>
      </c>
      <c r="F35" t="n">
        <v>78977381.48</v>
      </c>
    </row>
    <row r="36">
      <c r="A36" t="inlineStr">
        <is>
          <t>00010</t>
        </is>
      </c>
      <c r="B36" t="inlineStr">
        <is>
          <t>Client 010 Holdings</t>
        </is>
      </c>
      <c r="C36" s="3" t="n">
        <v>46323</v>
      </c>
      <c r="D36" t="inlineStr">
        <is>
          <t>2026-10</t>
        </is>
      </c>
      <c r="E36" t="inlineStr">
        <is>
          <t>Balanced</t>
        </is>
      </c>
      <c r="F36" t="n">
        <v>22031121.32</v>
      </c>
    </row>
    <row r="37">
      <c r="A37" t="inlineStr">
        <is>
          <t>00010</t>
        </is>
      </c>
      <c r="B37" t="inlineStr">
        <is>
          <t>Client 010 Holdings</t>
        </is>
      </c>
      <c r="C37" s="3" t="n">
        <v>46354</v>
      </c>
      <c r="D37" t="inlineStr">
        <is>
          <t>2026-11</t>
        </is>
      </c>
      <c r="E37" t="inlineStr">
        <is>
          <t>Balanced</t>
        </is>
      </c>
      <c r="F37" t="n">
        <v>10782747.37</v>
      </c>
    </row>
    <row r="38">
      <c r="A38" t="inlineStr">
        <is>
          <t>00011</t>
        </is>
      </c>
      <c r="B38" t="inlineStr">
        <is>
          <t>Client 011 Holdings</t>
        </is>
      </c>
      <c r="C38" s="3" t="n">
        <v>46323</v>
      </c>
      <c r="D38" t="inlineStr">
        <is>
          <t>2026-10</t>
        </is>
      </c>
      <c r="E38" t="inlineStr">
        <is>
          <t>Equity</t>
        </is>
      </c>
      <c r="F38" t="n">
        <v>6883612.43</v>
      </c>
    </row>
    <row r="39">
      <c r="A39" t="inlineStr">
        <is>
          <t>00011</t>
        </is>
      </c>
      <c r="B39" t="inlineStr">
        <is>
          <t>Client 011 Holdings</t>
        </is>
      </c>
      <c r="C39" s="3" t="n">
        <v>46354</v>
      </c>
      <c r="D39" t="inlineStr">
        <is>
          <t>2026-11</t>
        </is>
      </c>
      <c r="E39" t="inlineStr">
        <is>
          <t>Equity</t>
        </is>
      </c>
      <c r="F39" t="n">
        <v>19809329.21</v>
      </c>
    </row>
    <row r="40">
      <c r="A40" t="inlineStr">
        <is>
          <t>00012</t>
        </is>
      </c>
      <c r="B40" t="inlineStr">
        <is>
          <t>Client 012 Holdings</t>
        </is>
      </c>
      <c r="C40" s="3" t="n">
        <v>46323</v>
      </c>
      <c r="D40" t="inlineStr">
        <is>
          <t>2026-10</t>
        </is>
      </c>
      <c r="E40" t="inlineStr">
        <is>
          <t>Fixed Income</t>
        </is>
      </c>
      <c r="F40" t="n">
        <v>43570496.08</v>
      </c>
    </row>
    <row r="41">
      <c r="A41" t="inlineStr">
        <is>
          <t>00012</t>
        </is>
      </c>
      <c r="B41" t="inlineStr">
        <is>
          <t>Client 012 Holdings</t>
        </is>
      </c>
      <c r="C41" s="3" t="n">
        <v>46354</v>
      </c>
      <c r="D41" t="inlineStr">
        <is>
          <t>2026-11</t>
        </is>
      </c>
      <c r="E41" t="inlineStr">
        <is>
          <t>Fixed Income</t>
        </is>
      </c>
      <c r="F41" t="n">
        <v>10420038.33</v>
      </c>
    </row>
    <row r="42">
      <c r="A42" t="inlineStr">
        <is>
          <t>00013</t>
        </is>
      </c>
      <c r="B42" t="inlineStr">
        <is>
          <t>Client 013 Holdings</t>
        </is>
      </c>
      <c r="C42" s="3" t="n">
        <v>46323</v>
      </c>
      <c r="D42" t="inlineStr">
        <is>
          <t>2026-10</t>
        </is>
      </c>
      <c r="E42" t="inlineStr">
        <is>
          <t>Balanced</t>
        </is>
      </c>
      <c r="F42" t="n">
        <v>32971873.99</v>
      </c>
    </row>
    <row r="43">
      <c r="A43" t="inlineStr">
        <is>
          <t>00013</t>
        </is>
      </c>
      <c r="B43" t="inlineStr">
        <is>
          <t>Client 013 Holdings</t>
        </is>
      </c>
      <c r="C43" s="3" t="n">
        <v>46354</v>
      </c>
      <c r="D43" t="inlineStr">
        <is>
          <t>2026-11</t>
        </is>
      </c>
      <c r="E43" t="inlineStr">
        <is>
          <t>Balanced</t>
        </is>
      </c>
      <c r="F43" t="n">
        <v>7879667.18</v>
      </c>
    </row>
    <row r="44">
      <c r="A44" t="inlineStr">
        <is>
          <t>00014</t>
        </is>
      </c>
      <c r="B44" t="inlineStr">
        <is>
          <t>Client 014 Holdings</t>
        </is>
      </c>
      <c r="C44" s="3" t="n">
        <v>46323</v>
      </c>
      <c r="D44" t="inlineStr">
        <is>
          <t>2026-10</t>
        </is>
      </c>
      <c r="E44" t="inlineStr">
        <is>
          <t>Equity</t>
        </is>
      </c>
      <c r="F44" t="n">
        <v>11859732.04</v>
      </c>
    </row>
    <row r="45">
      <c r="A45" t="inlineStr">
        <is>
          <t>00014</t>
        </is>
      </c>
      <c r="B45" t="inlineStr">
        <is>
          <t>Client 014 Holdings</t>
        </is>
      </c>
      <c r="C45" s="3" t="n">
        <v>46354</v>
      </c>
      <c r="D45" t="inlineStr">
        <is>
          <t>2026-11</t>
        </is>
      </c>
      <c r="E45" t="inlineStr">
        <is>
          <t>Equity</t>
        </is>
      </c>
      <c r="F45" t="n">
        <v>70617244.11</v>
      </c>
    </row>
    <row r="46">
      <c r="A46" t="inlineStr">
        <is>
          <t>00015</t>
        </is>
      </c>
      <c r="B46" t="inlineStr">
        <is>
          <t>Client 015 Holdings</t>
        </is>
      </c>
      <c r="C46" s="3" t="n">
        <v>46323</v>
      </c>
      <c r="D46" t="inlineStr">
        <is>
          <t>2026-10</t>
        </is>
      </c>
      <c r="E46" t="inlineStr">
        <is>
          <t>Fixed Income</t>
        </is>
      </c>
      <c r="F46" t="n">
        <v>53007850.31</v>
      </c>
    </row>
    <row r="47">
      <c r="A47" t="inlineStr">
        <is>
          <t>00015</t>
        </is>
      </c>
      <c r="B47" t="inlineStr">
        <is>
          <t>Client 015 Holdings</t>
        </is>
      </c>
      <c r="C47" s="3" t="n">
        <v>46354</v>
      </c>
      <c r="D47" t="inlineStr">
        <is>
          <t>2026-11</t>
        </is>
      </c>
      <c r="E47" t="inlineStr">
        <is>
          <t>Fixed Income</t>
        </is>
      </c>
      <c r="F47" t="n">
        <v>88620282.88</v>
      </c>
    </row>
    <row r="48">
      <c r="A48" t="inlineStr">
        <is>
          <t>00016</t>
        </is>
      </c>
      <c r="B48" t="inlineStr">
        <is>
          <t>Client 016 Holdings</t>
        </is>
      </c>
      <c r="C48" s="3" t="n">
        <v>46323</v>
      </c>
      <c r="D48" t="inlineStr">
        <is>
          <t>2026-10</t>
        </is>
      </c>
      <c r="E48" t="inlineStr">
        <is>
          <t>Balanced</t>
        </is>
      </c>
      <c r="F48" t="n">
        <v>4412020.13</v>
      </c>
    </row>
    <row r="49">
      <c r="A49" t="inlineStr">
        <is>
          <t>00016</t>
        </is>
      </c>
      <c r="B49" t="inlineStr">
        <is>
          <t>Client 016 Holdings</t>
        </is>
      </c>
      <c r="C49" s="3" t="n">
        <v>46354</v>
      </c>
      <c r="D49" t="inlineStr">
        <is>
          <t>2026-11</t>
        </is>
      </c>
      <c r="E49" t="inlineStr">
        <is>
          <t>Balanced</t>
        </is>
      </c>
      <c r="F49" t="n">
        <v>10007080.33</v>
      </c>
    </row>
    <row r="50">
      <c r="A50" t="inlineStr">
        <is>
          <t>00017</t>
        </is>
      </c>
      <c r="B50" t="inlineStr">
        <is>
          <t>Client 017 Holdings</t>
        </is>
      </c>
      <c r="C50" s="3" t="n">
        <v>46323</v>
      </c>
      <c r="D50" t="inlineStr">
        <is>
          <t>2026-10</t>
        </is>
      </c>
      <c r="E50" t="inlineStr">
        <is>
          <t>Equity</t>
        </is>
      </c>
      <c r="F50" t="n">
        <v>19140123.32</v>
      </c>
    </row>
    <row r="51">
      <c r="A51" t="inlineStr">
        <is>
          <t>00017</t>
        </is>
      </c>
      <c r="B51" t="inlineStr">
        <is>
          <t>Client 017 Holdings</t>
        </is>
      </c>
      <c r="C51" s="3" t="n">
        <v>46354</v>
      </c>
      <c r="D51" t="inlineStr">
        <is>
          <t>2026-11</t>
        </is>
      </c>
      <c r="E51" t="inlineStr">
        <is>
          <t>Equity</t>
        </is>
      </c>
      <c r="F51" t="n">
        <v>68091385.23999999</v>
      </c>
    </row>
    <row r="52">
      <c r="A52" t="inlineStr">
        <is>
          <t>00018</t>
        </is>
      </c>
      <c r="B52" t="inlineStr">
        <is>
          <t>Client 018 Holdings</t>
        </is>
      </c>
      <c r="C52" s="3" t="n">
        <v>46323</v>
      </c>
      <c r="D52" t="inlineStr">
        <is>
          <t>2026-10</t>
        </is>
      </c>
      <c r="E52" t="inlineStr">
        <is>
          <t>Fixed Income</t>
        </is>
      </c>
      <c r="F52" t="n">
        <v>20984634.27</v>
      </c>
    </row>
    <row r="53">
      <c r="A53" t="inlineStr">
        <is>
          <t>00018</t>
        </is>
      </c>
      <c r="B53" t="inlineStr">
        <is>
          <t>Client 018 Holdings</t>
        </is>
      </c>
      <c r="C53" s="3" t="n">
        <v>46354</v>
      </c>
      <c r="D53" t="inlineStr">
        <is>
          <t>2026-11</t>
        </is>
      </c>
      <c r="E53" t="inlineStr">
        <is>
          <t>Fixed Income</t>
        </is>
      </c>
      <c r="F53" t="n">
        <v>43203961.76</v>
      </c>
    </row>
    <row r="54">
      <c r="A54" t="inlineStr">
        <is>
          <t>00019</t>
        </is>
      </c>
      <c r="B54" t="inlineStr">
        <is>
          <t>Client 019 Holdings</t>
        </is>
      </c>
      <c r="C54" s="3" t="n">
        <v>46323</v>
      </c>
      <c r="D54" t="inlineStr">
        <is>
          <t>2026-10</t>
        </is>
      </c>
      <c r="E54" t="inlineStr">
        <is>
          <t>Balanced</t>
        </is>
      </c>
      <c r="F54" t="n">
        <v>87845303.97</v>
      </c>
    </row>
    <row r="55">
      <c r="A55" t="inlineStr">
        <is>
          <t>00019</t>
        </is>
      </c>
      <c r="B55" t="inlineStr">
        <is>
          <t>Client 019 Holdings</t>
        </is>
      </c>
      <c r="C55" s="3" t="n">
        <v>46354</v>
      </c>
      <c r="D55" t="inlineStr">
        <is>
          <t>2026-11</t>
        </is>
      </c>
      <c r="E55" t="inlineStr">
        <is>
          <t>Balanced</t>
        </is>
      </c>
      <c r="F55" t="n">
        <v>84163479.03</v>
      </c>
    </row>
    <row r="56">
      <c r="A56" t="inlineStr">
        <is>
          <t>00020</t>
        </is>
      </c>
      <c r="B56" t="inlineStr">
        <is>
          <t>Client 020 Holdings</t>
        </is>
      </c>
      <c r="C56" s="3" t="n">
        <v>46323</v>
      </c>
      <c r="D56" t="inlineStr">
        <is>
          <t>2026-10</t>
        </is>
      </c>
      <c r="E56" t="inlineStr">
        <is>
          <t>Equity</t>
        </is>
      </c>
      <c r="F56" t="n">
        <v>83871574.48</v>
      </c>
    </row>
    <row r="57">
      <c r="A57" t="inlineStr">
        <is>
          <t>00020</t>
        </is>
      </c>
      <c r="B57" t="inlineStr">
        <is>
          <t>Client 020 Holdings</t>
        </is>
      </c>
      <c r="C57" s="3" t="n">
        <v>46354</v>
      </c>
      <c r="D57" t="inlineStr">
        <is>
          <t>2026-11</t>
        </is>
      </c>
      <c r="E57" t="inlineStr">
        <is>
          <t>Equity</t>
        </is>
      </c>
      <c r="F57" t="n">
        <v>73155128</v>
      </c>
    </row>
    <row r="58">
      <c r="A58" t="inlineStr">
        <is>
          <t>00021</t>
        </is>
      </c>
      <c r="B58" t="inlineStr">
        <is>
          <t>Client 021 Holdings</t>
        </is>
      </c>
      <c r="C58" s="3" t="n">
        <v>46323</v>
      </c>
      <c r="D58" t="inlineStr">
        <is>
          <t>2026-10</t>
        </is>
      </c>
      <c r="E58" t="inlineStr">
        <is>
          <t>Fixed Income</t>
        </is>
      </c>
      <c r="F58" t="n">
        <v>15144691.07</v>
      </c>
    </row>
    <row r="59">
      <c r="A59" t="inlineStr">
        <is>
          <t>00021</t>
        </is>
      </c>
      <c r="B59" t="inlineStr">
        <is>
          <t>Client 021 Holdings</t>
        </is>
      </c>
      <c r="C59" s="3" t="n">
        <v>46354</v>
      </c>
      <c r="D59" t="inlineStr">
        <is>
          <t>2026-11</t>
        </is>
      </c>
      <c r="E59" t="inlineStr">
        <is>
          <t>Fixed Income</t>
        </is>
      </c>
      <c r="F59" t="n">
        <v>72023153.20999999</v>
      </c>
    </row>
    <row r="60">
      <c r="A60" t="inlineStr">
        <is>
          <t>00022</t>
        </is>
      </c>
      <c r="B60" t="inlineStr">
        <is>
          <t>Client 022 Holdings</t>
        </is>
      </c>
      <c r="C60" s="3" t="n">
        <v>46323</v>
      </c>
      <c r="D60" t="inlineStr">
        <is>
          <t>2026-10</t>
        </is>
      </c>
      <c r="E60" t="inlineStr">
        <is>
          <t>Balanced</t>
        </is>
      </c>
      <c r="F60" t="n">
        <v>75327111.64</v>
      </c>
    </row>
    <row r="61">
      <c r="A61" t="inlineStr">
        <is>
          <t>00022</t>
        </is>
      </c>
      <c r="B61" t="inlineStr">
        <is>
          <t>Client 022 Holdings</t>
        </is>
      </c>
      <c r="C61" s="3" t="n">
        <v>46354</v>
      </c>
      <c r="D61" t="inlineStr">
        <is>
          <t>2026-11</t>
        </is>
      </c>
      <c r="E61" t="inlineStr">
        <is>
          <t>Balanced</t>
        </is>
      </c>
      <c r="F61" t="n">
        <v>12308107.16</v>
      </c>
    </row>
    <row r="62">
      <c r="A62" t="inlineStr">
        <is>
          <t>00023</t>
        </is>
      </c>
      <c r="B62" t="inlineStr">
        <is>
          <t>Client 023 Holdings</t>
        </is>
      </c>
      <c r="C62" s="3" t="n">
        <v>46323</v>
      </c>
      <c r="D62" t="inlineStr">
        <is>
          <t>2026-10</t>
        </is>
      </c>
      <c r="E62" t="inlineStr">
        <is>
          <t>Equity</t>
        </is>
      </c>
      <c r="F62" t="n">
        <v>45574045.87</v>
      </c>
    </row>
    <row r="63">
      <c r="A63" t="inlineStr">
        <is>
          <t>00023</t>
        </is>
      </c>
      <c r="B63" t="inlineStr">
        <is>
          <t>Client 023 Holdings</t>
        </is>
      </c>
      <c r="C63" s="3" t="n">
        <v>46354</v>
      </c>
      <c r="D63" t="inlineStr">
        <is>
          <t>2026-11</t>
        </is>
      </c>
      <c r="E63" t="inlineStr">
        <is>
          <t>Equity</t>
        </is>
      </c>
      <c r="F63" t="n">
        <v>63453476.85</v>
      </c>
    </row>
    <row r="64">
      <c r="A64" t="inlineStr">
        <is>
          <t>00024</t>
        </is>
      </c>
      <c r="B64" t="inlineStr">
        <is>
          <t>Client 024 Holdings</t>
        </is>
      </c>
      <c r="C64" s="3" t="n">
        <v>46323</v>
      </c>
      <c r="D64" t="inlineStr">
        <is>
          <t>2026-10</t>
        </is>
      </c>
      <c r="E64" t="inlineStr">
        <is>
          <t>Fixed Income</t>
        </is>
      </c>
      <c r="F64" t="n">
        <v>10039727.33</v>
      </c>
    </row>
    <row r="65">
      <c r="A65" t="inlineStr">
        <is>
          <t>00024</t>
        </is>
      </c>
      <c r="B65" t="inlineStr">
        <is>
          <t>Client 024 Holdings</t>
        </is>
      </c>
      <c r="C65" s="3" t="n">
        <v>46354</v>
      </c>
      <c r="D65" t="inlineStr">
        <is>
          <t>2026-11</t>
        </is>
      </c>
      <c r="E65" t="inlineStr">
        <is>
          <t>Fixed Income</t>
        </is>
      </c>
      <c r="F65" t="n">
        <v>47315234.71</v>
      </c>
    </row>
    <row r="66">
      <c r="A66" t="inlineStr">
        <is>
          <t>00025</t>
        </is>
      </c>
      <c r="B66" t="inlineStr">
        <is>
          <t>Client 025 Holdings</t>
        </is>
      </c>
      <c r="C66" s="3" t="n">
        <v>46323</v>
      </c>
      <c r="D66" t="inlineStr">
        <is>
          <t>2026-10</t>
        </is>
      </c>
      <c r="E66" t="inlineStr">
        <is>
          <t>Balanced</t>
        </is>
      </c>
      <c r="F66" t="n">
        <v>54469367.12</v>
      </c>
    </row>
    <row r="67">
      <c r="A67" t="inlineStr">
        <is>
          <t>00025</t>
        </is>
      </c>
      <c r="B67" t="inlineStr">
        <is>
          <t>Client 025 Holdings</t>
        </is>
      </c>
      <c r="C67" s="3" t="n">
        <v>46354</v>
      </c>
      <c r="D67" t="inlineStr">
        <is>
          <t>2026-11</t>
        </is>
      </c>
      <c r="E67" t="inlineStr">
        <is>
          <t>Balanced</t>
        </is>
      </c>
      <c r="F67" t="n">
        <v>84073681.94</v>
      </c>
    </row>
    <row r="68">
      <c r="A68" t="inlineStr">
        <is>
          <t>00026</t>
        </is>
      </c>
      <c r="B68" t="inlineStr">
        <is>
          <t>Client 026 Holdings</t>
        </is>
      </c>
      <c r="C68" s="3" t="n">
        <v>46323</v>
      </c>
      <c r="D68" t="inlineStr">
        <is>
          <t>2026-10</t>
        </is>
      </c>
      <c r="E68" t="inlineStr">
        <is>
          <t>Equity</t>
        </is>
      </c>
      <c r="F68" t="n">
        <v>11518810.23</v>
      </c>
    </row>
    <row r="69">
      <c r="A69" t="inlineStr">
        <is>
          <t>00026</t>
        </is>
      </c>
      <c r="B69" t="inlineStr">
        <is>
          <t>Client 026 Holdings</t>
        </is>
      </c>
      <c r="C69" s="3" t="n">
        <v>46354</v>
      </c>
      <c r="D69" t="inlineStr">
        <is>
          <t>2026-11</t>
        </is>
      </c>
      <c r="E69" t="inlineStr">
        <is>
          <t>Equity</t>
        </is>
      </c>
      <c r="F69" t="n">
        <v>58907441.32</v>
      </c>
    </row>
    <row r="70">
      <c r="A70" t="inlineStr">
        <is>
          <t>00027</t>
        </is>
      </c>
      <c r="B70" t="inlineStr">
        <is>
          <t>Client 027 Holdings</t>
        </is>
      </c>
      <c r="C70" s="3" t="n">
        <v>46323</v>
      </c>
      <c r="D70" t="inlineStr">
        <is>
          <t>2026-10</t>
        </is>
      </c>
      <c r="E70" t="inlineStr">
        <is>
          <t>Fixed Income</t>
        </is>
      </c>
      <c r="F70" t="n">
        <v>79727071.37</v>
      </c>
    </row>
    <row r="71">
      <c r="A71" t="inlineStr">
        <is>
          <t>00027</t>
        </is>
      </c>
      <c r="B71" t="inlineStr">
        <is>
          <t>Client 027 Holdings</t>
        </is>
      </c>
      <c r="C71" s="3" t="n">
        <v>46354</v>
      </c>
      <c r="D71" t="inlineStr">
        <is>
          <t>2026-11</t>
        </is>
      </c>
      <c r="E71" t="inlineStr">
        <is>
          <t>Fixed Income</t>
        </is>
      </c>
      <c r="F71" t="n">
        <v>74199864.28</v>
      </c>
    </row>
    <row r="72">
      <c r="A72" t="inlineStr">
        <is>
          <t>00028</t>
        </is>
      </c>
      <c r="B72" t="inlineStr">
        <is>
          <t>Client 028 Holdings</t>
        </is>
      </c>
      <c r="C72" s="3" t="n">
        <v>46323</v>
      </c>
      <c r="D72" t="inlineStr">
        <is>
          <t>2026-10</t>
        </is>
      </c>
      <c r="E72" t="inlineStr">
        <is>
          <t>Balanced</t>
        </is>
      </c>
      <c r="F72" t="n">
        <v>19610812.42</v>
      </c>
    </row>
    <row r="73">
      <c r="A73" t="inlineStr">
        <is>
          <t>00028</t>
        </is>
      </c>
      <c r="B73" t="inlineStr">
        <is>
          <t>Client 028 Holdings</t>
        </is>
      </c>
      <c r="C73" s="3" t="n">
        <v>46354</v>
      </c>
      <c r="D73" t="inlineStr">
        <is>
          <t>2026-11</t>
        </is>
      </c>
      <c r="E73" t="inlineStr">
        <is>
          <t>Balanced</t>
        </is>
      </c>
      <c r="F73" t="n">
        <v>83917549.51000001</v>
      </c>
    </row>
    <row r="74">
      <c r="A74" t="inlineStr">
        <is>
          <t>00029</t>
        </is>
      </c>
      <c r="B74" t="inlineStr">
        <is>
          <t>Client 029 Holdings</t>
        </is>
      </c>
      <c r="C74" s="3" t="n">
        <v>46323</v>
      </c>
      <c r="D74" t="inlineStr">
        <is>
          <t>2026-10</t>
        </is>
      </c>
      <c r="E74" t="inlineStr">
        <is>
          <t>Equity</t>
        </is>
      </c>
      <c r="F74" t="n">
        <v>38534192.64</v>
      </c>
    </row>
    <row r="75">
      <c r="A75" t="inlineStr">
        <is>
          <t>00029</t>
        </is>
      </c>
      <c r="B75" t="inlineStr">
        <is>
          <t>Client 029 Holdings</t>
        </is>
      </c>
      <c r="C75" s="3" t="n">
        <v>46354</v>
      </c>
      <c r="D75" t="inlineStr">
        <is>
          <t>2026-11</t>
        </is>
      </c>
      <c r="E75" t="inlineStr">
        <is>
          <t>Equity</t>
        </is>
      </c>
      <c r="F75" t="n">
        <v>87506157.78</v>
      </c>
    </row>
    <row r="76">
      <c r="A76" t="inlineStr">
        <is>
          <t>00030</t>
        </is>
      </c>
      <c r="B76" t="inlineStr">
        <is>
          <t>Client 030 Holdings</t>
        </is>
      </c>
      <c r="C76" s="3" t="n">
        <v>46323</v>
      </c>
      <c r="D76" t="inlineStr">
        <is>
          <t>2026-10</t>
        </is>
      </c>
      <c r="E76" t="inlineStr">
        <is>
          <t>Fixed Income</t>
        </is>
      </c>
      <c r="F76" t="n">
        <v>22708271.36</v>
      </c>
    </row>
    <row r="77">
      <c r="A77" t="inlineStr">
        <is>
          <t>00030</t>
        </is>
      </c>
      <c r="B77" t="inlineStr">
        <is>
          <t>Client 030 Holdings</t>
        </is>
      </c>
      <c r="C77" s="3" t="n">
        <v>46354</v>
      </c>
      <c r="D77" t="inlineStr">
        <is>
          <t>2026-11</t>
        </is>
      </c>
      <c r="E77" t="inlineStr">
        <is>
          <t>Fixed Income</t>
        </is>
      </c>
      <c r="F77" t="n">
        <v>78977433.90000001</v>
      </c>
    </row>
    <row r="78">
      <c r="A78" t="inlineStr">
        <is>
          <t>00031</t>
        </is>
      </c>
      <c r="B78" t="inlineStr">
        <is>
          <t>Client 031 Holdings</t>
        </is>
      </c>
      <c r="C78" s="3" t="n">
        <v>46323</v>
      </c>
      <c r="D78" t="inlineStr">
        <is>
          <t>2026-10</t>
        </is>
      </c>
      <c r="E78" t="inlineStr">
        <is>
          <t>Balanced</t>
        </is>
      </c>
      <c r="F78" t="n">
        <v>79053999.95</v>
      </c>
    </row>
    <row r="79">
      <c r="A79" t="inlineStr">
        <is>
          <t>00031</t>
        </is>
      </c>
      <c r="B79" t="inlineStr">
        <is>
          <t>Client 031 Holdings</t>
        </is>
      </c>
      <c r="C79" s="3" t="n">
        <v>46354</v>
      </c>
      <c r="D79" t="inlineStr">
        <is>
          <t>2026-11</t>
        </is>
      </c>
      <c r="E79" t="inlineStr">
        <is>
          <t>Balanced</t>
        </is>
      </c>
      <c r="F79" t="n">
        <v>56917464.09</v>
      </c>
    </row>
    <row r="80">
      <c r="A80" t="inlineStr">
        <is>
          <t>00032</t>
        </is>
      </c>
      <c r="B80" t="inlineStr">
        <is>
          <t>Client 032 Holdings</t>
        </is>
      </c>
      <c r="C80" s="3" t="n">
        <v>46323</v>
      </c>
      <c r="D80" t="inlineStr">
        <is>
          <t>2026-10</t>
        </is>
      </c>
      <c r="E80" t="inlineStr">
        <is>
          <t>Equity</t>
        </is>
      </c>
      <c r="F80" t="n">
        <v>66240795.75</v>
      </c>
    </row>
    <row r="81">
      <c r="A81" t="inlineStr">
        <is>
          <t>00032</t>
        </is>
      </c>
      <c r="B81" t="inlineStr">
        <is>
          <t>Client 032 Holdings</t>
        </is>
      </c>
      <c r="C81" s="3" t="n">
        <v>46354</v>
      </c>
      <c r="D81" t="inlineStr">
        <is>
          <t>2026-11</t>
        </is>
      </c>
      <c r="E81" t="inlineStr">
        <is>
          <t>Equity</t>
        </is>
      </c>
      <c r="F81" t="n">
        <v>51091371.57</v>
      </c>
    </row>
    <row r="82">
      <c r="A82" t="inlineStr">
        <is>
          <t>00033</t>
        </is>
      </c>
      <c r="B82" t="inlineStr">
        <is>
          <t>Client 033 Holdings</t>
        </is>
      </c>
      <c r="C82" s="3" t="n">
        <v>46323</v>
      </c>
      <c r="D82" t="inlineStr">
        <is>
          <t>2026-10</t>
        </is>
      </c>
      <c r="E82" t="inlineStr">
        <is>
          <t>Fixed Income</t>
        </is>
      </c>
      <c r="F82" t="n">
        <v>82454828.40000001</v>
      </c>
    </row>
    <row r="83">
      <c r="A83" t="inlineStr">
        <is>
          <t>00033</t>
        </is>
      </c>
      <c r="B83" t="inlineStr">
        <is>
          <t>Client 033 Holdings</t>
        </is>
      </c>
      <c r="C83" s="3" t="n">
        <v>46354</v>
      </c>
      <c r="D83" t="inlineStr">
        <is>
          <t>2026-11</t>
        </is>
      </c>
      <c r="E83" t="inlineStr">
        <is>
          <t>Fixed Income</t>
        </is>
      </c>
      <c r="F83" t="n">
        <v>64320965.26</v>
      </c>
    </row>
    <row r="84">
      <c r="A84" t="inlineStr">
        <is>
          <t>00034</t>
        </is>
      </c>
      <c r="B84" t="inlineStr">
        <is>
          <t>Client 034 Holdings</t>
        </is>
      </c>
      <c r="C84" s="3" t="n">
        <v>46323</v>
      </c>
      <c r="D84" t="inlineStr">
        <is>
          <t>2026-10</t>
        </is>
      </c>
      <c r="E84" t="inlineStr">
        <is>
          <t>Balanced</t>
        </is>
      </c>
      <c r="F84" t="n">
        <v>52244915.64</v>
      </c>
    </row>
    <row r="85">
      <c r="A85" t="inlineStr">
        <is>
          <t>00034</t>
        </is>
      </c>
      <c r="B85" t="inlineStr">
        <is>
          <t>Client 034 Holdings</t>
        </is>
      </c>
      <c r="C85" s="3" t="n">
        <v>46354</v>
      </c>
      <c r="D85" t="inlineStr">
        <is>
          <t>2026-11</t>
        </is>
      </c>
      <c r="E85" t="inlineStr">
        <is>
          <t>Balanced</t>
        </is>
      </c>
      <c r="F85" t="n">
        <v>37478876.56</v>
      </c>
    </row>
    <row r="86">
      <c r="A86" t="inlineStr">
        <is>
          <t>00035</t>
        </is>
      </c>
      <c r="B86" t="inlineStr">
        <is>
          <t>Client 035 Holdings</t>
        </is>
      </c>
      <c r="C86" s="3" t="n">
        <v>46323</v>
      </c>
      <c r="D86" t="inlineStr">
        <is>
          <t>2026-10</t>
        </is>
      </c>
      <c r="E86" t="inlineStr">
        <is>
          <t>Equity</t>
        </is>
      </c>
      <c r="F86" t="n">
        <v>22300246.12</v>
      </c>
    </row>
    <row r="87">
      <c r="A87" t="inlineStr">
        <is>
          <t>00035</t>
        </is>
      </c>
      <c r="B87" t="inlineStr">
        <is>
          <t>Client 035 Holdings</t>
        </is>
      </c>
      <c r="C87" s="3" t="n">
        <v>46354</v>
      </c>
      <c r="D87" t="inlineStr">
        <is>
          <t>2026-11</t>
        </is>
      </c>
      <c r="E87" t="inlineStr">
        <is>
          <t>Equity</t>
        </is>
      </c>
      <c r="F87" t="n">
        <v>6543754.63</v>
      </c>
    </row>
    <row r="88">
      <c r="A88" t="inlineStr">
        <is>
          <t>00036</t>
        </is>
      </c>
      <c r="B88" t="inlineStr">
        <is>
          <t>Client 036 Holdings</t>
        </is>
      </c>
      <c r="C88" s="3" t="n">
        <v>46323</v>
      </c>
      <c r="D88" t="inlineStr">
        <is>
          <t>2026-10</t>
        </is>
      </c>
      <c r="E88" t="inlineStr">
        <is>
          <t>Fixed Income</t>
        </is>
      </c>
      <c r="F88" t="n">
        <v>60656425.28</v>
      </c>
    </row>
    <row r="89">
      <c r="A89" t="inlineStr">
        <is>
          <t>00036</t>
        </is>
      </c>
      <c r="B89" t="inlineStr">
        <is>
          <t>Client 036 Holdings</t>
        </is>
      </c>
      <c r="C89" s="3" t="n">
        <v>46354</v>
      </c>
      <c r="D89" t="inlineStr">
        <is>
          <t>2026-11</t>
        </is>
      </c>
      <c r="E89" t="inlineStr">
        <is>
          <t>Fixed Income</t>
        </is>
      </c>
      <c r="F89" t="n">
        <v>48420543.69</v>
      </c>
    </row>
    <row r="90">
      <c r="A90" t="inlineStr">
        <is>
          <t>00037</t>
        </is>
      </c>
      <c r="B90" t="inlineStr">
        <is>
          <t>Client 037 Holdings</t>
        </is>
      </c>
      <c r="C90" s="3" t="n">
        <v>46323</v>
      </c>
      <c r="D90" t="inlineStr">
        <is>
          <t>2026-10</t>
        </is>
      </c>
      <c r="E90" t="inlineStr">
        <is>
          <t>Balanced</t>
        </is>
      </c>
      <c r="F90" t="n">
        <v>8796729.779999999</v>
      </c>
    </row>
    <row r="91">
      <c r="A91" t="inlineStr">
        <is>
          <t>00037</t>
        </is>
      </c>
      <c r="B91" t="inlineStr">
        <is>
          <t>Client 037 Holdings</t>
        </is>
      </c>
      <c r="C91" s="3" t="n">
        <v>46354</v>
      </c>
      <c r="D91" t="inlineStr">
        <is>
          <t>2026-11</t>
        </is>
      </c>
      <c r="E91" t="inlineStr">
        <is>
          <t>Balanced</t>
        </is>
      </c>
      <c r="F91" t="n">
        <v>11196159.18</v>
      </c>
    </row>
    <row r="92">
      <c r="A92" t="inlineStr">
        <is>
          <t>00038</t>
        </is>
      </c>
      <c r="B92" t="inlineStr">
        <is>
          <t>Client 038 Holdings</t>
        </is>
      </c>
      <c r="C92" s="3" t="n">
        <v>46323</v>
      </c>
      <c r="D92" t="inlineStr">
        <is>
          <t>2026-10</t>
        </is>
      </c>
      <c r="E92" t="inlineStr">
        <is>
          <t>Equity</t>
        </is>
      </c>
      <c r="F92" t="n">
        <v>65230340.36</v>
      </c>
    </row>
    <row r="93">
      <c r="A93" t="inlineStr">
        <is>
          <t>00038</t>
        </is>
      </c>
      <c r="B93" t="inlineStr">
        <is>
          <t>Client 038 Holdings</t>
        </is>
      </c>
      <c r="C93" s="3" t="n">
        <v>46354</v>
      </c>
      <c r="D93" t="inlineStr">
        <is>
          <t>2026-11</t>
        </is>
      </c>
      <c r="E93" t="inlineStr">
        <is>
          <t>Equity</t>
        </is>
      </c>
      <c r="F93" t="n">
        <v>53475150.69</v>
      </c>
    </row>
    <row r="94">
      <c r="A94" t="inlineStr">
        <is>
          <t>00039</t>
        </is>
      </c>
      <c r="B94" t="inlineStr">
        <is>
          <t>Client 039 Holdings</t>
        </is>
      </c>
      <c r="C94" s="3" t="n">
        <v>46323</v>
      </c>
      <c r="D94" t="inlineStr">
        <is>
          <t>2026-10</t>
        </is>
      </c>
      <c r="E94" t="inlineStr">
        <is>
          <t>Fixed Income</t>
        </is>
      </c>
      <c r="F94" t="n">
        <v>74342745.42</v>
      </c>
    </row>
    <row r="95">
      <c r="A95" t="inlineStr">
        <is>
          <t>00039</t>
        </is>
      </c>
      <c r="B95" t="inlineStr">
        <is>
          <t>Client 039 Holdings</t>
        </is>
      </c>
      <c r="C95" s="3" t="n">
        <v>46354</v>
      </c>
      <c r="D95" t="inlineStr">
        <is>
          <t>2026-11</t>
        </is>
      </c>
      <c r="E95" t="inlineStr">
        <is>
          <t>Fixed Income</t>
        </is>
      </c>
      <c r="F95" t="n">
        <v>61697056.98</v>
      </c>
    </row>
    <row r="96">
      <c r="A96" t="inlineStr">
        <is>
          <t>00040</t>
        </is>
      </c>
      <c r="B96" t="inlineStr">
        <is>
          <t>Client 040 Holdings</t>
        </is>
      </c>
      <c r="C96" s="3" t="n">
        <v>46323</v>
      </c>
      <c r="D96" t="inlineStr">
        <is>
          <t>2026-10</t>
        </is>
      </c>
      <c r="E96" t="inlineStr">
        <is>
          <t>Balanced</t>
        </is>
      </c>
      <c r="F96" t="n">
        <v>5456248.08</v>
      </c>
    </row>
    <row r="97">
      <c r="A97" t="inlineStr">
        <is>
          <t>00040</t>
        </is>
      </c>
      <c r="B97" t="inlineStr">
        <is>
          <t>Client 040 Holdings</t>
        </is>
      </c>
      <c r="C97" s="3" t="n">
        <v>46354</v>
      </c>
      <c r="D97" t="inlineStr">
        <is>
          <t>2026-11</t>
        </is>
      </c>
      <c r="E97" t="inlineStr">
        <is>
          <t>Balanced</t>
        </is>
      </c>
      <c r="F97" t="n">
        <v>29211482.56</v>
      </c>
    </row>
    <row r="98">
      <c r="A98" t="inlineStr">
        <is>
          <t>00041</t>
        </is>
      </c>
      <c r="B98" t="inlineStr">
        <is>
          <t>Client 041 Holdings</t>
        </is>
      </c>
      <c r="C98" s="3" t="n">
        <v>46323</v>
      </c>
      <c r="D98" t="inlineStr">
        <is>
          <t>2026-10</t>
        </is>
      </c>
      <c r="E98" t="inlineStr">
        <is>
          <t>Equity</t>
        </is>
      </c>
      <c r="F98" t="n">
        <v>32791843.57</v>
      </c>
    </row>
    <row r="99">
      <c r="A99" t="inlineStr">
        <is>
          <t>00041</t>
        </is>
      </c>
      <c r="B99" t="inlineStr">
        <is>
          <t>Client 041 Holdings</t>
        </is>
      </c>
      <c r="C99" s="3" t="n">
        <v>46354</v>
      </c>
      <c r="D99" t="inlineStr">
        <is>
          <t>2026-11</t>
        </is>
      </c>
      <c r="E99" t="inlineStr">
        <is>
          <t>Equity</t>
        </is>
      </c>
      <c r="F99" t="n">
        <v>48627928.89</v>
      </c>
    </row>
    <row r="100">
      <c r="A100" t="inlineStr">
        <is>
          <t>00042</t>
        </is>
      </c>
      <c r="B100" t="inlineStr">
        <is>
          <t>Client 042 Holdings</t>
        </is>
      </c>
      <c r="C100" s="3" t="n">
        <v>46323</v>
      </c>
      <c r="D100" t="inlineStr">
        <is>
          <t>2026-10</t>
        </is>
      </c>
      <c r="E100" t="inlineStr">
        <is>
          <t>Fixed Income</t>
        </is>
      </c>
      <c r="F100" t="n">
        <v>25556896.34</v>
      </c>
    </row>
    <row r="101">
      <c r="A101" t="inlineStr">
        <is>
          <t>00042</t>
        </is>
      </c>
      <c r="B101" t="inlineStr">
        <is>
          <t>Client 042 Holdings</t>
        </is>
      </c>
      <c r="C101" s="3" t="n">
        <v>46354</v>
      </c>
      <c r="D101" t="inlineStr">
        <is>
          <t>2026-11</t>
        </is>
      </c>
      <c r="E101" t="inlineStr">
        <is>
          <t>Fixed Income</t>
        </is>
      </c>
      <c r="F101" t="n">
        <v>73735380.09999999</v>
      </c>
    </row>
    <row r="102">
      <c r="A102" t="inlineStr">
        <is>
          <t>00043</t>
        </is>
      </c>
      <c r="B102" t="inlineStr">
        <is>
          <t>Client 043 Holdings</t>
        </is>
      </c>
      <c r="C102" s="3" t="n">
        <v>46323</v>
      </c>
      <c r="D102" t="inlineStr">
        <is>
          <t>2026-10</t>
        </is>
      </c>
      <c r="E102" t="inlineStr">
        <is>
          <t>Balanced</t>
        </is>
      </c>
      <c r="F102" t="n">
        <v>86040648.54000001</v>
      </c>
    </row>
    <row r="103">
      <c r="A103" t="inlineStr">
        <is>
          <t>00043</t>
        </is>
      </c>
      <c r="B103" t="inlineStr">
        <is>
          <t>Client 043 Holdings</t>
        </is>
      </c>
      <c r="C103" s="3" t="n">
        <v>46354</v>
      </c>
      <c r="D103" t="inlineStr">
        <is>
          <t>2026-11</t>
        </is>
      </c>
      <c r="E103" t="inlineStr">
        <is>
          <t>Balanced</t>
        </is>
      </c>
      <c r="F103" t="n">
        <v>30050185.82</v>
      </c>
    </row>
    <row r="104">
      <c r="A104" t="inlineStr">
        <is>
          <t>00044</t>
        </is>
      </c>
      <c r="B104" t="inlineStr">
        <is>
          <t>Client 044 Holdings</t>
        </is>
      </c>
      <c r="C104" s="3" t="n">
        <v>46323</v>
      </c>
      <c r="D104" t="inlineStr">
        <is>
          <t>2026-10</t>
        </is>
      </c>
      <c r="E104" t="inlineStr">
        <is>
          <t>Equity</t>
        </is>
      </c>
      <c r="F104" t="n">
        <v>44580060.84</v>
      </c>
    </row>
    <row r="105">
      <c r="A105" t="inlineStr">
        <is>
          <t>00044</t>
        </is>
      </c>
      <c r="B105" t="inlineStr">
        <is>
          <t>Client 044 Holdings</t>
        </is>
      </c>
      <c r="C105" s="3" t="n">
        <v>46354</v>
      </c>
      <c r="D105" t="inlineStr">
        <is>
          <t>2026-11</t>
        </is>
      </c>
      <c r="E105" t="inlineStr">
        <is>
          <t>Equity</t>
        </is>
      </c>
      <c r="F105" t="n">
        <v>24936704.72</v>
      </c>
    </row>
    <row r="106">
      <c r="A106" t="inlineStr">
        <is>
          <t>00045</t>
        </is>
      </c>
      <c r="B106" t="inlineStr">
        <is>
          <t>Client 045 Holdings</t>
        </is>
      </c>
      <c r="C106" s="3" t="n">
        <v>46323</v>
      </c>
      <c r="D106" t="inlineStr">
        <is>
          <t>2026-10</t>
        </is>
      </c>
      <c r="E106" t="inlineStr">
        <is>
          <t>Fixed Income</t>
        </is>
      </c>
      <c r="F106" t="n">
        <v>24927645.72</v>
      </c>
    </row>
    <row r="107">
      <c r="A107" t="inlineStr">
        <is>
          <t>00045</t>
        </is>
      </c>
      <c r="B107" t="inlineStr">
        <is>
          <t>Client 045 Holdings</t>
        </is>
      </c>
      <c r="C107" s="3" t="n">
        <v>46354</v>
      </c>
      <c r="D107" t="inlineStr">
        <is>
          <t>2026-11</t>
        </is>
      </c>
      <c r="E107" t="inlineStr">
        <is>
          <t>Fixed Income</t>
        </is>
      </c>
      <c r="F107" t="n">
        <v>87564029.29000001</v>
      </c>
    </row>
    <row r="108">
      <c r="A108" t="inlineStr">
        <is>
          <t>00046</t>
        </is>
      </c>
      <c r="B108" t="inlineStr">
        <is>
          <t>Client 046 Holdings</t>
        </is>
      </c>
      <c r="C108" s="3" t="n">
        <v>46323</v>
      </c>
      <c r="D108" t="inlineStr">
        <is>
          <t>2026-10</t>
        </is>
      </c>
      <c r="E108" t="inlineStr">
        <is>
          <t>Balanced</t>
        </is>
      </c>
      <c r="F108" t="n">
        <v>31625734.03</v>
      </c>
    </row>
    <row r="109">
      <c r="A109" t="inlineStr">
        <is>
          <t>00046</t>
        </is>
      </c>
      <c r="B109" t="inlineStr">
        <is>
          <t>Client 046 Holdings</t>
        </is>
      </c>
      <c r="C109" s="3" t="n">
        <v>46354</v>
      </c>
      <c r="D109" t="inlineStr">
        <is>
          <t>2026-11</t>
        </is>
      </c>
      <c r="E109" t="inlineStr">
        <is>
          <t>Balanced</t>
        </is>
      </c>
      <c r="F109" t="n">
        <v>67668762.37</v>
      </c>
    </row>
    <row r="110">
      <c r="A110" t="inlineStr">
        <is>
          <t>00047</t>
        </is>
      </c>
      <c r="B110" t="inlineStr">
        <is>
          <t>Client 047 Holdings</t>
        </is>
      </c>
      <c r="C110" s="3" t="n">
        <v>46323</v>
      </c>
      <c r="D110" t="inlineStr">
        <is>
          <t>2026-10</t>
        </is>
      </c>
      <c r="E110" t="inlineStr">
        <is>
          <t>Equity</t>
        </is>
      </c>
      <c r="F110" t="n">
        <v>47998882.39</v>
      </c>
    </row>
    <row r="111">
      <c r="A111" t="inlineStr">
        <is>
          <t>00047</t>
        </is>
      </c>
      <c r="B111" t="inlineStr">
        <is>
          <t>Client 047 Holdings</t>
        </is>
      </c>
      <c r="C111" s="3" t="n">
        <v>46354</v>
      </c>
      <c r="D111" t="inlineStr">
        <is>
          <t>2026-11</t>
        </is>
      </c>
      <c r="E111" t="inlineStr">
        <is>
          <t>Equity</t>
        </is>
      </c>
      <c r="F111" t="n">
        <v>76396812.01000001</v>
      </c>
    </row>
    <row r="112">
      <c r="A112" t="inlineStr">
        <is>
          <t>00048</t>
        </is>
      </c>
      <c r="B112" t="inlineStr">
        <is>
          <t>Client 048 Holdings</t>
        </is>
      </c>
      <c r="C112" s="3" t="n">
        <v>46323</v>
      </c>
      <c r="D112" t="inlineStr">
        <is>
          <t>2026-10</t>
        </is>
      </c>
      <c r="E112" t="inlineStr">
        <is>
          <t>Fixed Income</t>
        </is>
      </c>
      <c r="F112" t="n">
        <v>82354167.02</v>
      </c>
    </row>
    <row r="113">
      <c r="A113" t="inlineStr">
        <is>
          <t>00048</t>
        </is>
      </c>
      <c r="B113" t="inlineStr">
        <is>
          <t>Client 048 Holdings</t>
        </is>
      </c>
      <c r="C113" s="3" t="n">
        <v>46354</v>
      </c>
      <c r="D113" t="inlineStr">
        <is>
          <t>2026-11</t>
        </is>
      </c>
      <c r="E113" t="inlineStr">
        <is>
          <t>Fixed Income</t>
        </is>
      </c>
      <c r="F113" t="n">
        <v>24848706.6</v>
      </c>
    </row>
    <row r="114">
      <c r="A114" t="inlineStr">
        <is>
          <t>00049</t>
        </is>
      </c>
      <c r="B114" t="inlineStr">
        <is>
          <t>Client 049 Holdings</t>
        </is>
      </c>
      <c r="C114" s="3" t="n">
        <v>46323</v>
      </c>
      <c r="D114" t="inlineStr">
        <is>
          <t>2026-10</t>
        </is>
      </c>
      <c r="E114" t="inlineStr">
        <is>
          <t>Balanced</t>
        </is>
      </c>
      <c r="F114" t="n">
        <v>15751321.53</v>
      </c>
    </row>
    <row r="115">
      <c r="A115" t="inlineStr">
        <is>
          <t>00049</t>
        </is>
      </c>
      <c r="B115" t="inlineStr">
        <is>
          <t>Client 049 Holdings</t>
        </is>
      </c>
      <c r="C115" s="3" t="n">
        <v>46354</v>
      </c>
      <c r="D115" t="inlineStr">
        <is>
          <t>2026-11</t>
        </is>
      </c>
      <c r="E115" t="inlineStr">
        <is>
          <t>Balanced</t>
        </is>
      </c>
      <c r="F115" t="n">
        <v>73944774.76000001</v>
      </c>
    </row>
    <row r="116">
      <c r="A116" t="inlineStr">
        <is>
          <t>00050</t>
        </is>
      </c>
      <c r="B116" t="inlineStr">
        <is>
          <t>Client 050 Holdings</t>
        </is>
      </c>
      <c r="C116" s="3" t="n">
        <v>46323</v>
      </c>
      <c r="D116" t="inlineStr">
        <is>
          <t>2026-10</t>
        </is>
      </c>
      <c r="E116" t="inlineStr">
        <is>
          <t>Equity</t>
        </is>
      </c>
      <c r="F116" t="n">
        <v>36824327.5</v>
      </c>
    </row>
    <row r="117">
      <c r="A117" t="inlineStr">
        <is>
          <t>00050</t>
        </is>
      </c>
      <c r="B117" t="inlineStr">
        <is>
          <t>Client 050 Holdings</t>
        </is>
      </c>
      <c r="C117" s="3" t="n">
        <v>46354</v>
      </c>
      <c r="D117" t="inlineStr">
        <is>
          <t>2026-11</t>
        </is>
      </c>
      <c r="E117" t="inlineStr">
        <is>
          <t>Equity</t>
        </is>
      </c>
      <c r="F117" t="n">
        <v>79948858.98</v>
      </c>
    </row>
    <row r="118">
      <c r="A118" t="inlineStr">
        <is>
          <t>00051</t>
        </is>
      </c>
      <c r="B118" t="inlineStr">
        <is>
          <t>Client 051 Holdings</t>
        </is>
      </c>
      <c r="C118" s="3" t="n">
        <v>46323</v>
      </c>
      <c r="D118" t="inlineStr">
        <is>
          <t>2026-10</t>
        </is>
      </c>
      <c r="E118" t="inlineStr">
        <is>
          <t>Fixed Income</t>
        </is>
      </c>
      <c r="F118" t="n">
        <v>61282309.09</v>
      </c>
    </row>
    <row r="119">
      <c r="A119" t="inlineStr">
        <is>
          <t>00051</t>
        </is>
      </c>
      <c r="B119" t="inlineStr">
        <is>
          <t>Client 051 Holdings</t>
        </is>
      </c>
      <c r="C119" s="3" t="n">
        <v>46354</v>
      </c>
      <c r="D119" t="inlineStr">
        <is>
          <t>2026-11</t>
        </is>
      </c>
      <c r="E119" t="inlineStr">
        <is>
          <t>Fixed Income</t>
        </is>
      </c>
      <c r="F119" t="n">
        <v>425008.38</v>
      </c>
    </row>
    <row r="120">
      <c r="A120" t="inlineStr">
        <is>
          <t>00052</t>
        </is>
      </c>
      <c r="B120" t="inlineStr">
        <is>
          <t>Client 052 Holdings</t>
        </is>
      </c>
      <c r="C120" s="3" t="n">
        <v>46323</v>
      </c>
      <c r="D120" t="inlineStr">
        <is>
          <t>2026-10</t>
        </is>
      </c>
      <c r="E120" t="inlineStr">
        <is>
          <t>Balanced</t>
        </is>
      </c>
      <c r="F120" t="n">
        <v>17844153.42</v>
      </c>
    </row>
    <row r="121">
      <c r="A121" t="inlineStr">
        <is>
          <t>00052</t>
        </is>
      </c>
      <c r="B121" t="inlineStr">
        <is>
          <t>Client 052 Holdings</t>
        </is>
      </c>
      <c r="C121" s="3" t="n">
        <v>46354</v>
      </c>
      <c r="D121" t="inlineStr">
        <is>
          <t>2026-11</t>
        </is>
      </c>
      <c r="E121" t="inlineStr">
        <is>
          <t>Balanced</t>
        </is>
      </c>
      <c r="F121" t="n">
        <v>86630357.01000001</v>
      </c>
    </row>
    <row r="122">
      <c r="A122" t="inlineStr">
        <is>
          <t>00053</t>
        </is>
      </c>
      <c r="B122" t="inlineStr">
        <is>
          <t>Client 053 Holdings</t>
        </is>
      </c>
      <c r="C122" s="3" t="n">
        <v>46323</v>
      </c>
      <c r="D122" t="inlineStr">
        <is>
          <t>2026-10</t>
        </is>
      </c>
      <c r="E122" t="inlineStr">
        <is>
          <t>Equity</t>
        </is>
      </c>
      <c r="F122" t="n">
        <v>84508736.43000001</v>
      </c>
    </row>
    <row r="123">
      <c r="A123" t="inlineStr">
        <is>
          <t>00053</t>
        </is>
      </c>
      <c r="B123" t="inlineStr">
        <is>
          <t>Client 053 Holdings</t>
        </is>
      </c>
      <c r="C123" s="3" t="n">
        <v>46354</v>
      </c>
      <c r="D123" t="inlineStr">
        <is>
          <t>2026-11</t>
        </is>
      </c>
      <c r="E123" t="inlineStr">
        <is>
          <t>Equity</t>
        </is>
      </c>
      <c r="F123" t="n">
        <v>68335644.52</v>
      </c>
    </row>
    <row r="124">
      <c r="A124" t="inlineStr">
        <is>
          <t>00054</t>
        </is>
      </c>
      <c r="B124" t="inlineStr">
        <is>
          <t>Client 054 Holdings</t>
        </is>
      </c>
      <c r="C124" s="3" t="n">
        <v>46323</v>
      </c>
      <c r="D124" t="inlineStr">
        <is>
          <t>2026-10</t>
        </is>
      </c>
      <c r="E124" t="inlineStr">
        <is>
          <t>Fixed Income</t>
        </is>
      </c>
      <c r="F124" t="n">
        <v>55405315.05</v>
      </c>
    </row>
    <row r="125">
      <c r="A125" t="inlineStr">
        <is>
          <t>00054</t>
        </is>
      </c>
      <c r="B125" t="inlineStr">
        <is>
          <t>Client 054 Holdings</t>
        </is>
      </c>
      <c r="C125" s="3" t="n">
        <v>46354</v>
      </c>
      <c r="D125" t="inlineStr">
        <is>
          <t>2026-11</t>
        </is>
      </c>
      <c r="E125" t="inlineStr">
        <is>
          <t>Fixed Income</t>
        </is>
      </c>
      <c r="F125" t="n">
        <v>71261353.55</v>
      </c>
    </row>
    <row r="126">
      <c r="A126" t="inlineStr">
        <is>
          <t>00055</t>
        </is>
      </c>
      <c r="B126" t="inlineStr">
        <is>
          <t>Client 055 Holdings</t>
        </is>
      </c>
      <c r="C126" s="3" t="n">
        <v>46323</v>
      </c>
      <c r="D126" t="inlineStr">
        <is>
          <t>2026-10</t>
        </is>
      </c>
      <c r="E126" t="inlineStr">
        <is>
          <t>Balanced</t>
        </is>
      </c>
      <c r="F126" t="n">
        <v>20778332.61</v>
      </c>
    </row>
    <row r="127">
      <c r="A127" t="inlineStr">
        <is>
          <t>00055</t>
        </is>
      </c>
      <c r="B127" t="inlineStr">
        <is>
          <t>Client 055 Holdings</t>
        </is>
      </c>
      <c r="C127" s="3" t="n">
        <v>46354</v>
      </c>
      <c r="D127" t="inlineStr">
        <is>
          <t>2026-11</t>
        </is>
      </c>
      <c r="E127" t="inlineStr">
        <is>
          <t>Balanced</t>
        </is>
      </c>
      <c r="F127" t="n">
        <v>89472091</v>
      </c>
    </row>
    <row r="128">
      <c r="A128" t="inlineStr">
        <is>
          <t>00056</t>
        </is>
      </c>
      <c r="B128" t="inlineStr">
        <is>
          <t>Client 056 Holdings</t>
        </is>
      </c>
      <c r="C128" s="3" t="n">
        <v>46323</v>
      </c>
      <c r="D128" t="inlineStr">
        <is>
          <t>2026-10</t>
        </is>
      </c>
      <c r="E128" t="inlineStr">
        <is>
          <t>Equity</t>
        </is>
      </c>
      <c r="F128" t="n">
        <v>61561050.6</v>
      </c>
    </row>
    <row r="129">
      <c r="A129" t="inlineStr">
        <is>
          <t>00056</t>
        </is>
      </c>
      <c r="B129" t="inlineStr">
        <is>
          <t>Client 056 Holdings</t>
        </is>
      </c>
      <c r="C129" s="3" t="n">
        <v>46354</v>
      </c>
      <c r="D129" t="inlineStr">
        <is>
          <t>2026-11</t>
        </is>
      </c>
      <c r="E129" t="inlineStr">
        <is>
          <t>Equity</t>
        </is>
      </c>
      <c r="F129" t="n">
        <v>36557950.67</v>
      </c>
    </row>
    <row r="130">
      <c r="A130" t="inlineStr">
        <is>
          <t>00057</t>
        </is>
      </c>
      <c r="B130" t="inlineStr">
        <is>
          <t>Client 057 Holdings</t>
        </is>
      </c>
      <c r="C130" s="3" t="n">
        <v>46323</v>
      </c>
      <c r="D130" t="inlineStr">
        <is>
          <t>2026-10</t>
        </is>
      </c>
      <c r="E130" t="inlineStr">
        <is>
          <t>Fixed Income</t>
        </is>
      </c>
      <c r="F130" t="n">
        <v>17852191.97</v>
      </c>
    </row>
    <row r="131">
      <c r="A131" t="inlineStr">
        <is>
          <t>00057</t>
        </is>
      </c>
      <c r="B131" t="inlineStr">
        <is>
          <t>Client 057 Holdings</t>
        </is>
      </c>
      <c r="C131" s="3" t="n">
        <v>46354</v>
      </c>
      <c r="D131" t="inlineStr">
        <is>
          <t>2026-11</t>
        </is>
      </c>
      <c r="E131" t="inlineStr">
        <is>
          <t>Fixed Income</t>
        </is>
      </c>
      <c r="F131" t="n">
        <v>87212386</v>
      </c>
    </row>
    <row r="132">
      <c r="A132" t="inlineStr">
        <is>
          <t>00058</t>
        </is>
      </c>
      <c r="B132" t="inlineStr">
        <is>
          <t>Client 058 Holdings</t>
        </is>
      </c>
      <c r="C132" s="3" t="n">
        <v>46323</v>
      </c>
      <c r="D132" t="inlineStr">
        <is>
          <t>2026-10</t>
        </is>
      </c>
      <c r="E132" t="inlineStr">
        <is>
          <t>Balanced</t>
        </is>
      </c>
      <c r="F132" t="n">
        <v>35239913.31</v>
      </c>
    </row>
    <row r="133">
      <c r="A133" t="inlineStr">
        <is>
          <t>00058</t>
        </is>
      </c>
      <c r="B133" t="inlineStr">
        <is>
          <t>Client 058 Holdings</t>
        </is>
      </c>
      <c r="C133" s="3" t="n">
        <v>46354</v>
      </c>
      <c r="D133" t="inlineStr">
        <is>
          <t>2026-11</t>
        </is>
      </c>
      <c r="E133" t="inlineStr">
        <is>
          <t>Balanced</t>
        </is>
      </c>
      <c r="F133" t="n">
        <v>72878262.66</v>
      </c>
    </row>
    <row r="134">
      <c r="A134" t="inlineStr">
        <is>
          <t>00059</t>
        </is>
      </c>
      <c r="B134" t="inlineStr">
        <is>
          <t>Client 059 Holdings</t>
        </is>
      </c>
      <c r="C134" s="3" t="n">
        <v>46323</v>
      </c>
      <c r="D134" t="inlineStr">
        <is>
          <t>2026-10</t>
        </is>
      </c>
      <c r="E134" t="inlineStr">
        <is>
          <t>Equity</t>
        </is>
      </c>
      <c r="F134" t="n">
        <v>34703573.34</v>
      </c>
    </row>
    <row r="135">
      <c r="A135" t="inlineStr">
        <is>
          <t>00059</t>
        </is>
      </c>
      <c r="B135" t="inlineStr">
        <is>
          <t>Client 059 Holdings</t>
        </is>
      </c>
      <c r="C135" s="3" t="n">
        <v>46354</v>
      </c>
      <c r="D135" t="inlineStr">
        <is>
          <t>2026-11</t>
        </is>
      </c>
      <c r="E135" t="inlineStr">
        <is>
          <t>Equity</t>
        </is>
      </c>
      <c r="F135" t="n">
        <v>55185231.94</v>
      </c>
    </row>
    <row r="136">
      <c r="A136" t="inlineStr">
        <is>
          <t>00060</t>
        </is>
      </c>
      <c r="B136" t="inlineStr">
        <is>
          <t>Client 060 Holdings</t>
        </is>
      </c>
      <c r="C136" s="3" t="n">
        <v>46323</v>
      </c>
      <c r="D136" t="inlineStr">
        <is>
          <t>2026-10</t>
        </is>
      </c>
      <c r="E136" t="inlineStr">
        <is>
          <t>Fixed Income</t>
        </is>
      </c>
      <c r="F136" t="n">
        <v>53688313.83</v>
      </c>
    </row>
    <row r="137">
      <c r="A137" t="inlineStr">
        <is>
          <t>00060</t>
        </is>
      </c>
      <c r="B137" t="inlineStr">
        <is>
          <t>Client 060 Holdings</t>
        </is>
      </c>
      <c r="C137" s="3" t="n">
        <v>46354</v>
      </c>
      <c r="D137" t="inlineStr">
        <is>
          <t>2026-11</t>
        </is>
      </c>
      <c r="E137" t="inlineStr">
        <is>
          <t>Fixed Income</t>
        </is>
      </c>
      <c r="F137" t="n">
        <v>49305237.11</v>
      </c>
    </row>
    <row r="138">
      <c r="A138" t="inlineStr">
        <is>
          <t>00061</t>
        </is>
      </c>
      <c r="B138" t="inlineStr">
        <is>
          <t>Client 061 Holdings</t>
        </is>
      </c>
      <c r="C138" s="3" t="n">
        <v>46323</v>
      </c>
      <c r="D138" t="inlineStr">
        <is>
          <t>2026-10</t>
        </is>
      </c>
      <c r="E138" t="inlineStr">
        <is>
          <t>Balanced</t>
        </is>
      </c>
      <c r="F138" t="n">
        <v>58722854.97</v>
      </c>
    </row>
    <row r="139">
      <c r="A139" t="inlineStr">
        <is>
          <t>00061</t>
        </is>
      </c>
      <c r="B139" t="inlineStr">
        <is>
          <t>Client 061 Holdings</t>
        </is>
      </c>
      <c r="C139" s="3" t="n">
        <v>46354</v>
      </c>
      <c r="D139" t="inlineStr">
        <is>
          <t>2026-11</t>
        </is>
      </c>
      <c r="E139" t="inlineStr">
        <is>
          <t>Balanced</t>
        </is>
      </c>
      <c r="F139" t="n">
        <v>15116994.2</v>
      </c>
    </row>
    <row r="140">
      <c r="A140" t="inlineStr">
        <is>
          <t>00062</t>
        </is>
      </c>
      <c r="B140" t="inlineStr">
        <is>
          <t>Client 062 Holdings</t>
        </is>
      </c>
      <c r="C140" s="3" t="n">
        <v>46323</v>
      </c>
      <c r="D140" t="inlineStr">
        <is>
          <t>2026-10</t>
        </is>
      </c>
      <c r="E140" t="inlineStr">
        <is>
          <t>Equity</t>
        </is>
      </c>
      <c r="F140" t="n">
        <v>50422404.44</v>
      </c>
    </row>
    <row r="141">
      <c r="A141" t="inlineStr">
        <is>
          <t>00062</t>
        </is>
      </c>
      <c r="B141" t="inlineStr">
        <is>
          <t>Client 062 Holdings</t>
        </is>
      </c>
      <c r="C141" s="3" t="n">
        <v>46354</v>
      </c>
      <c r="D141" t="inlineStr">
        <is>
          <t>2026-11</t>
        </is>
      </c>
      <c r="E141" t="inlineStr">
        <is>
          <t>Equity</t>
        </is>
      </c>
      <c r="F141" t="n">
        <v>6111046.71</v>
      </c>
    </row>
    <row r="142">
      <c r="A142" t="inlineStr">
        <is>
          <t>00063</t>
        </is>
      </c>
      <c r="B142" t="inlineStr">
        <is>
          <t>Client 063 Holdings</t>
        </is>
      </c>
      <c r="C142" s="3" t="n">
        <v>46323</v>
      </c>
      <c r="D142" t="inlineStr">
        <is>
          <t>2026-10</t>
        </is>
      </c>
      <c r="E142" t="inlineStr">
        <is>
          <t>Fixed Income</t>
        </is>
      </c>
      <c r="F142" t="n">
        <v>64523279.59</v>
      </c>
    </row>
    <row r="143">
      <c r="A143" t="inlineStr">
        <is>
          <t>00063</t>
        </is>
      </c>
      <c r="B143" t="inlineStr">
        <is>
          <t>Client 063 Holdings</t>
        </is>
      </c>
      <c r="C143" s="3" t="n">
        <v>46354</v>
      </c>
      <c r="D143" t="inlineStr">
        <is>
          <t>2026-11</t>
        </is>
      </c>
      <c r="E143" t="inlineStr">
        <is>
          <t>Fixed Income</t>
        </is>
      </c>
      <c r="F143" t="n">
        <v>85817119.69</v>
      </c>
    </row>
    <row r="144">
      <c r="A144" t="inlineStr">
        <is>
          <t>00064</t>
        </is>
      </c>
      <c r="B144" t="inlineStr">
        <is>
          <t>Client 064 Holdings</t>
        </is>
      </c>
      <c r="C144" s="3" t="n">
        <v>46323</v>
      </c>
      <c r="D144" t="inlineStr">
        <is>
          <t>2026-10</t>
        </is>
      </c>
      <c r="E144" t="inlineStr">
        <is>
          <t>Balanced</t>
        </is>
      </c>
      <c r="F144" t="n">
        <v>88553778.06</v>
      </c>
    </row>
    <row r="145">
      <c r="A145" t="inlineStr">
        <is>
          <t>00064</t>
        </is>
      </c>
      <c r="B145" t="inlineStr">
        <is>
          <t>Client 064 Holdings</t>
        </is>
      </c>
      <c r="C145" s="3" t="n">
        <v>46354</v>
      </c>
      <c r="D145" t="inlineStr">
        <is>
          <t>2026-11</t>
        </is>
      </c>
      <c r="E145" t="inlineStr">
        <is>
          <t>Balanced</t>
        </is>
      </c>
      <c r="F145" t="n">
        <v>79189123.73</v>
      </c>
    </row>
    <row r="146">
      <c r="A146" t="inlineStr">
        <is>
          <t>00065</t>
        </is>
      </c>
      <c r="B146" t="inlineStr">
        <is>
          <t>Client 065 Holdings</t>
        </is>
      </c>
      <c r="C146" s="3" t="n">
        <v>46323</v>
      </c>
      <c r="D146" t="inlineStr">
        <is>
          <t>2026-10</t>
        </is>
      </c>
      <c r="E146" t="inlineStr">
        <is>
          <t>Equity</t>
        </is>
      </c>
      <c r="F146" t="n">
        <v>44944074.07</v>
      </c>
    </row>
    <row r="147">
      <c r="A147" t="inlineStr">
        <is>
          <t>00065</t>
        </is>
      </c>
      <c r="B147" t="inlineStr">
        <is>
          <t>Client 065 Holdings</t>
        </is>
      </c>
      <c r="C147" s="3" t="n">
        <v>46354</v>
      </c>
      <c r="D147" t="inlineStr">
        <is>
          <t>2026-11</t>
        </is>
      </c>
      <c r="E147" t="inlineStr">
        <is>
          <t>Equity</t>
        </is>
      </c>
      <c r="F147" t="n">
        <v>26527933.22</v>
      </c>
    </row>
    <row r="148">
      <c r="A148" t="inlineStr">
        <is>
          <t>00066</t>
        </is>
      </c>
      <c r="B148" t="inlineStr">
        <is>
          <t>Client 066 Holdings</t>
        </is>
      </c>
      <c r="C148" s="3" t="n">
        <v>46323</v>
      </c>
      <c r="D148" t="inlineStr">
        <is>
          <t>2026-10</t>
        </is>
      </c>
      <c r="E148" t="inlineStr">
        <is>
          <t>Fixed Income</t>
        </is>
      </c>
      <c r="F148" t="n">
        <v>14397456.96</v>
      </c>
    </row>
    <row r="149">
      <c r="A149" t="inlineStr">
        <is>
          <t>00066</t>
        </is>
      </c>
      <c r="B149" t="inlineStr">
        <is>
          <t>Client 066 Holdings</t>
        </is>
      </c>
      <c r="C149" s="3" t="n">
        <v>46354</v>
      </c>
      <c r="D149" t="inlineStr">
        <is>
          <t>2026-11</t>
        </is>
      </c>
      <c r="E149" t="inlineStr">
        <is>
          <t>Fixed Income</t>
        </is>
      </c>
      <c r="F149" t="n">
        <v>43921478.72</v>
      </c>
    </row>
    <row r="150">
      <c r="A150" t="inlineStr">
        <is>
          <t>00067</t>
        </is>
      </c>
      <c r="B150" t="inlineStr">
        <is>
          <t>Client 067 Holdings</t>
        </is>
      </c>
      <c r="C150" s="3" t="n">
        <v>46323</v>
      </c>
      <c r="D150" t="inlineStr">
        <is>
          <t>2026-10</t>
        </is>
      </c>
      <c r="E150" t="inlineStr">
        <is>
          <t>Balanced</t>
        </is>
      </c>
      <c r="F150" t="n">
        <v>46008027.4</v>
      </c>
    </row>
    <row r="151">
      <c r="A151" t="inlineStr">
        <is>
          <t>00067</t>
        </is>
      </c>
      <c r="B151" t="inlineStr">
        <is>
          <t>Client 067 Holdings</t>
        </is>
      </c>
      <c r="C151" s="3" t="n">
        <v>46354</v>
      </c>
      <c r="D151" t="inlineStr">
        <is>
          <t>2026-11</t>
        </is>
      </c>
      <c r="E151" t="inlineStr">
        <is>
          <t>Balanced</t>
        </is>
      </c>
      <c r="F151" t="n">
        <v>72943388.64</v>
      </c>
    </row>
    <row r="152">
      <c r="A152" t="inlineStr">
        <is>
          <t>00068</t>
        </is>
      </c>
      <c r="B152" t="inlineStr">
        <is>
          <t>Client 068 Holdings</t>
        </is>
      </c>
      <c r="C152" s="3" t="n">
        <v>46323</v>
      </c>
      <c r="D152" t="inlineStr">
        <is>
          <t>2026-10</t>
        </is>
      </c>
      <c r="E152" t="inlineStr">
        <is>
          <t>Equity</t>
        </is>
      </c>
      <c r="F152" t="n">
        <v>56928382.58</v>
      </c>
    </row>
    <row r="153">
      <c r="A153" t="inlineStr">
        <is>
          <t>00068</t>
        </is>
      </c>
      <c r="B153" t="inlineStr">
        <is>
          <t>Client 068 Holdings</t>
        </is>
      </c>
      <c r="C153" s="3" t="n">
        <v>46354</v>
      </c>
      <c r="D153" t="inlineStr">
        <is>
          <t>2026-11</t>
        </is>
      </c>
      <c r="E153" t="inlineStr">
        <is>
          <t>Equity</t>
        </is>
      </c>
      <c r="F153" t="n">
        <v>68275491.3</v>
      </c>
    </row>
    <row r="154">
      <c r="A154" t="inlineStr">
        <is>
          <t>00069</t>
        </is>
      </c>
      <c r="B154" t="inlineStr">
        <is>
          <t>Client 069 Holdings</t>
        </is>
      </c>
      <c r="C154" s="3" t="n">
        <v>46323</v>
      </c>
      <c r="D154" t="inlineStr">
        <is>
          <t>2026-10</t>
        </is>
      </c>
      <c r="E154" t="inlineStr">
        <is>
          <t>Fixed Income</t>
        </is>
      </c>
      <c r="F154" t="n">
        <v>76263434.73999999</v>
      </c>
    </row>
    <row r="155">
      <c r="A155" t="inlineStr">
        <is>
          <t>00069</t>
        </is>
      </c>
      <c r="B155" t="inlineStr">
        <is>
          <t>Client 069 Holdings</t>
        </is>
      </c>
      <c r="C155" s="3" t="n">
        <v>46354</v>
      </c>
      <c r="D155" t="inlineStr">
        <is>
          <t>2026-11</t>
        </is>
      </c>
      <c r="E155" t="inlineStr">
        <is>
          <t>Fixed Income</t>
        </is>
      </c>
      <c r="F155" t="n">
        <v>50717974.76</v>
      </c>
    </row>
    <row r="156">
      <c r="A156" t="inlineStr">
        <is>
          <t>00070</t>
        </is>
      </c>
      <c r="B156" t="inlineStr">
        <is>
          <t>Client 070 Holdings</t>
        </is>
      </c>
      <c r="C156" s="3" t="n">
        <v>46323</v>
      </c>
      <c r="D156" t="inlineStr">
        <is>
          <t>2026-10</t>
        </is>
      </c>
      <c r="E156" t="inlineStr">
        <is>
          <t>Balanced</t>
        </is>
      </c>
      <c r="F156" t="n">
        <v>22678206.44</v>
      </c>
    </row>
    <row r="157">
      <c r="A157" t="inlineStr">
        <is>
          <t>00070</t>
        </is>
      </c>
      <c r="B157" t="inlineStr">
        <is>
          <t>Client 070 Holdings</t>
        </is>
      </c>
      <c r="C157" s="3" t="n">
        <v>46354</v>
      </c>
      <c r="D157" t="inlineStr">
        <is>
          <t>2026-11</t>
        </is>
      </c>
      <c r="E157" t="inlineStr">
        <is>
          <t>Balanced</t>
        </is>
      </c>
      <c r="F157" t="n">
        <v>39955817.54</v>
      </c>
    </row>
    <row r="158">
      <c r="A158" t="inlineStr">
        <is>
          <t>00071</t>
        </is>
      </c>
      <c r="B158" t="inlineStr">
        <is>
          <t>Client 071 Holdings</t>
        </is>
      </c>
      <c r="C158" s="3" t="n">
        <v>46323</v>
      </c>
      <c r="D158" t="inlineStr">
        <is>
          <t>2026-10</t>
        </is>
      </c>
      <c r="E158" t="inlineStr">
        <is>
          <t>Equity</t>
        </is>
      </c>
      <c r="F158" t="n">
        <v>26981286.66</v>
      </c>
    </row>
    <row r="159">
      <c r="A159" t="inlineStr">
        <is>
          <t>00071</t>
        </is>
      </c>
      <c r="B159" t="inlineStr">
        <is>
          <t>Client 071 Holdings</t>
        </is>
      </c>
      <c r="C159" s="3" t="n">
        <v>46354</v>
      </c>
      <c r="D159" t="inlineStr">
        <is>
          <t>2026-11</t>
        </is>
      </c>
      <c r="E159" t="inlineStr">
        <is>
          <t>Equity</t>
        </is>
      </c>
      <c r="F159" t="n">
        <v>74645030.89</v>
      </c>
    </row>
    <row r="160">
      <c r="A160" t="inlineStr">
        <is>
          <t>00072</t>
        </is>
      </c>
      <c r="B160" t="inlineStr">
        <is>
          <t>Client 072 Holdings</t>
        </is>
      </c>
      <c r="C160" s="3" t="n">
        <v>46323</v>
      </c>
      <c r="D160" t="inlineStr">
        <is>
          <t>2026-10</t>
        </is>
      </c>
      <c r="E160" t="inlineStr">
        <is>
          <t>Fixed Income</t>
        </is>
      </c>
      <c r="F160" t="n">
        <v>48703739.23</v>
      </c>
    </row>
    <row r="161">
      <c r="A161" t="inlineStr">
        <is>
          <t>00072</t>
        </is>
      </c>
      <c r="B161" t="inlineStr">
        <is>
          <t>Client 072 Holdings</t>
        </is>
      </c>
      <c r="C161" s="3" t="n">
        <v>46354</v>
      </c>
      <c r="D161" t="inlineStr">
        <is>
          <t>2026-11</t>
        </is>
      </c>
      <c r="E161" t="inlineStr">
        <is>
          <t>Fixed Income</t>
        </is>
      </c>
      <c r="F161" t="n">
        <v>87208851.95</v>
      </c>
    </row>
    <row r="162">
      <c r="A162" t="inlineStr">
        <is>
          <t>00073</t>
        </is>
      </c>
      <c r="B162" t="inlineStr">
        <is>
          <t>Client 073 Holdings</t>
        </is>
      </c>
      <c r="C162" s="3" t="n">
        <v>46323</v>
      </c>
      <c r="D162" t="inlineStr">
        <is>
          <t>2026-10</t>
        </is>
      </c>
      <c r="E162" t="inlineStr">
        <is>
          <t>Balanced</t>
        </is>
      </c>
      <c r="F162" t="n">
        <v>87982127.43000001</v>
      </c>
    </row>
    <row r="163">
      <c r="A163" t="inlineStr">
        <is>
          <t>00073</t>
        </is>
      </c>
      <c r="B163" t="inlineStr">
        <is>
          <t>Client 073 Holdings</t>
        </is>
      </c>
      <c r="C163" s="3" t="n">
        <v>46354</v>
      </c>
      <c r="D163" t="inlineStr">
        <is>
          <t>2026-11</t>
        </is>
      </c>
      <c r="E163" t="inlineStr">
        <is>
          <t>Balanced</t>
        </is>
      </c>
      <c r="F163" t="n">
        <v>85332051.78</v>
      </c>
    </row>
    <row r="164">
      <c r="A164" t="inlineStr">
        <is>
          <t>00074</t>
        </is>
      </c>
      <c r="B164" t="inlineStr">
        <is>
          <t>Client 074 Holdings</t>
        </is>
      </c>
      <c r="C164" s="3" t="n">
        <v>46323</v>
      </c>
      <c r="D164" t="inlineStr">
        <is>
          <t>2026-10</t>
        </is>
      </c>
      <c r="E164" t="inlineStr">
        <is>
          <t>Equity</t>
        </is>
      </c>
      <c r="F164" t="n">
        <v>1759551.24</v>
      </c>
    </row>
    <row r="165">
      <c r="A165" t="inlineStr">
        <is>
          <t>00074</t>
        </is>
      </c>
      <c r="B165" t="inlineStr">
        <is>
          <t>Client 074 Holdings</t>
        </is>
      </c>
      <c r="C165" s="3" t="n">
        <v>46354</v>
      </c>
      <c r="D165" t="inlineStr">
        <is>
          <t>2026-11</t>
        </is>
      </c>
      <c r="E165" t="inlineStr">
        <is>
          <t>Equity</t>
        </is>
      </c>
      <c r="F165" t="n">
        <v>5681350.12</v>
      </c>
    </row>
    <row r="166">
      <c r="A166" t="inlineStr">
        <is>
          <t>00075</t>
        </is>
      </c>
      <c r="B166" t="inlineStr">
        <is>
          <t>Client 075 Holdings</t>
        </is>
      </c>
      <c r="C166" s="3" t="n">
        <v>46323</v>
      </c>
      <c r="D166" t="inlineStr">
        <is>
          <t>2026-10</t>
        </is>
      </c>
      <c r="E166" t="inlineStr">
        <is>
          <t>Fixed Income</t>
        </is>
      </c>
      <c r="F166" t="n">
        <v>41714663.98</v>
      </c>
    </row>
    <row r="167">
      <c r="A167" t="inlineStr">
        <is>
          <t>00075</t>
        </is>
      </c>
      <c r="B167" t="inlineStr">
        <is>
          <t>Client 075 Holdings</t>
        </is>
      </c>
      <c r="C167" s="3" t="n">
        <v>46354</v>
      </c>
      <c r="D167" t="inlineStr">
        <is>
          <t>2026-11</t>
        </is>
      </c>
      <c r="E167" t="inlineStr">
        <is>
          <t>Fixed Income</t>
        </is>
      </c>
      <c r="F167" t="n">
        <v>69588529.33</v>
      </c>
    </row>
    <row r="168">
      <c r="A168" t="inlineStr">
        <is>
          <t>00076</t>
        </is>
      </c>
      <c r="B168" t="inlineStr">
        <is>
          <t>Client 076 Holdings</t>
        </is>
      </c>
      <c r="C168" s="3" t="n">
        <v>46323</v>
      </c>
      <c r="D168" t="inlineStr">
        <is>
          <t>2026-10</t>
        </is>
      </c>
      <c r="E168" t="inlineStr">
        <is>
          <t>Balanced</t>
        </is>
      </c>
      <c r="F168" t="n">
        <v>80125063.13</v>
      </c>
    </row>
    <row r="169">
      <c r="A169" t="inlineStr">
        <is>
          <t>00076</t>
        </is>
      </c>
      <c r="B169" t="inlineStr">
        <is>
          <t>Client 076 Holdings</t>
        </is>
      </c>
      <c r="C169" s="3" t="n">
        <v>46354</v>
      </c>
      <c r="D169" t="inlineStr">
        <is>
          <t>2026-11</t>
        </is>
      </c>
      <c r="E169" t="inlineStr">
        <is>
          <t>Balanced</t>
        </is>
      </c>
      <c r="F169" t="n">
        <v>74070095.73999999</v>
      </c>
    </row>
    <row r="170">
      <c r="A170" t="inlineStr">
        <is>
          <t>00077</t>
        </is>
      </c>
      <c r="B170" t="inlineStr">
        <is>
          <t>Client 077 Holdings</t>
        </is>
      </c>
      <c r="C170" s="3" t="n">
        <v>46323</v>
      </c>
      <c r="D170" t="inlineStr">
        <is>
          <t>2026-10</t>
        </is>
      </c>
      <c r="E170" t="inlineStr">
        <is>
          <t>Equity</t>
        </is>
      </c>
      <c r="F170" t="n">
        <v>54514335.13</v>
      </c>
    </row>
    <row r="171">
      <c r="A171" t="inlineStr">
        <is>
          <t>00077</t>
        </is>
      </c>
      <c r="B171" t="inlineStr">
        <is>
          <t>Client 077 Holdings</t>
        </is>
      </c>
      <c r="C171" s="3" t="n">
        <v>46354</v>
      </c>
      <c r="D171" t="inlineStr">
        <is>
          <t>2026-11</t>
        </is>
      </c>
      <c r="E171" t="inlineStr">
        <is>
          <t>Equity</t>
        </is>
      </c>
      <c r="F171" t="n">
        <v>76084148.59</v>
      </c>
    </row>
    <row r="172">
      <c r="A172" t="inlineStr">
        <is>
          <t>00078</t>
        </is>
      </c>
      <c r="B172" t="inlineStr">
        <is>
          <t>Client 078 Holdings</t>
        </is>
      </c>
      <c r="C172" s="3" t="n">
        <v>46323</v>
      </c>
      <c r="D172" t="inlineStr">
        <is>
          <t>2026-10</t>
        </is>
      </c>
      <c r="E172" t="inlineStr">
        <is>
          <t>Fixed Income</t>
        </is>
      </c>
      <c r="F172" t="n">
        <v>13124662.84</v>
      </c>
    </row>
    <row r="173">
      <c r="A173" t="inlineStr">
        <is>
          <t>00078</t>
        </is>
      </c>
      <c r="B173" t="inlineStr">
        <is>
          <t>Client 078 Holdings</t>
        </is>
      </c>
      <c r="C173" s="3" t="n">
        <v>46354</v>
      </c>
      <c r="D173" t="inlineStr">
        <is>
          <t>2026-11</t>
        </is>
      </c>
      <c r="E173" t="inlineStr">
        <is>
          <t>Fixed Income</t>
        </is>
      </c>
      <c r="F173" t="n">
        <v>32361355.23</v>
      </c>
    </row>
    <row r="174">
      <c r="A174" t="inlineStr">
        <is>
          <t>00079</t>
        </is>
      </c>
      <c r="B174" t="inlineStr">
        <is>
          <t>Client 079 Holdings</t>
        </is>
      </c>
      <c r="C174" s="3" t="n">
        <v>46323</v>
      </c>
      <c r="D174" t="inlineStr">
        <is>
          <t>2026-10</t>
        </is>
      </c>
      <c r="E174" t="inlineStr">
        <is>
          <t>Balanced</t>
        </is>
      </c>
      <c r="F174" t="n">
        <v>50819477.34</v>
      </c>
    </row>
    <row r="175">
      <c r="A175" t="inlineStr">
        <is>
          <t>00079</t>
        </is>
      </c>
      <c r="B175" t="inlineStr">
        <is>
          <t>Client 079 Holdings</t>
        </is>
      </c>
      <c r="C175" s="3" t="n">
        <v>46354</v>
      </c>
      <c r="D175" t="inlineStr">
        <is>
          <t>2026-11</t>
        </is>
      </c>
      <c r="E175" t="inlineStr">
        <is>
          <t>Balanced</t>
        </is>
      </c>
      <c r="F175" t="n">
        <v>6817317.06</v>
      </c>
    </row>
    <row r="176">
      <c r="A176" t="inlineStr">
        <is>
          <t>00080</t>
        </is>
      </c>
      <c r="B176" t="inlineStr">
        <is>
          <t>Client 080 Holdings</t>
        </is>
      </c>
      <c r="C176" s="3" t="n">
        <v>46323</v>
      </c>
      <c r="D176" t="inlineStr">
        <is>
          <t>2026-10</t>
        </is>
      </c>
      <c r="E176" t="inlineStr">
        <is>
          <t>Equity</t>
        </is>
      </c>
      <c r="F176" t="n">
        <v>89241813.03</v>
      </c>
    </row>
    <row r="177">
      <c r="A177" t="inlineStr">
        <is>
          <t>00080</t>
        </is>
      </c>
      <c r="B177" t="inlineStr">
        <is>
          <t>Client 080 Holdings</t>
        </is>
      </c>
      <c r="C177" s="3" t="n">
        <v>46354</v>
      </c>
      <c r="D177" t="inlineStr">
        <is>
          <t>2026-11</t>
        </is>
      </c>
      <c r="E177" t="inlineStr">
        <is>
          <t>Equity</t>
        </is>
      </c>
      <c r="F177" t="n">
        <v>21842666.47</v>
      </c>
    </row>
    <row r="178">
      <c r="A178" t="inlineStr">
        <is>
          <t>00081</t>
        </is>
      </c>
      <c r="B178" t="inlineStr">
        <is>
          <t>Client 081 Holdings</t>
        </is>
      </c>
      <c r="C178" s="3" t="n">
        <v>46323</v>
      </c>
      <c r="D178" t="inlineStr">
        <is>
          <t>2026-10</t>
        </is>
      </c>
      <c r="E178" t="inlineStr">
        <is>
          <t>Fixed Income</t>
        </is>
      </c>
      <c r="F178" t="n">
        <v>40108307.23</v>
      </c>
    </row>
    <row r="179">
      <c r="A179" t="inlineStr">
        <is>
          <t>00081</t>
        </is>
      </c>
      <c r="B179" t="inlineStr">
        <is>
          <t>Client 081 Holdings</t>
        </is>
      </c>
      <c r="C179" s="3" t="n">
        <v>46354</v>
      </c>
      <c r="D179" t="inlineStr">
        <is>
          <t>2026-11</t>
        </is>
      </c>
      <c r="E179" t="inlineStr">
        <is>
          <t>Fixed Income</t>
        </is>
      </c>
      <c r="F179" t="n">
        <v>10047100.19</v>
      </c>
    </row>
    <row r="180">
      <c r="A180" t="inlineStr">
        <is>
          <t>00082</t>
        </is>
      </c>
      <c r="B180" t="inlineStr">
        <is>
          <t>Client 082 Holdings</t>
        </is>
      </c>
      <c r="C180" s="3" t="n">
        <v>46323</v>
      </c>
      <c r="D180" t="inlineStr">
        <is>
          <t>2026-10</t>
        </is>
      </c>
      <c r="E180" t="inlineStr">
        <is>
          <t>Balanced</t>
        </is>
      </c>
      <c r="F180" t="n">
        <v>56581896.46</v>
      </c>
    </row>
    <row r="181">
      <c r="A181" t="inlineStr">
        <is>
          <t>00082</t>
        </is>
      </c>
      <c r="B181" t="inlineStr">
        <is>
          <t>Client 082 Holdings</t>
        </is>
      </c>
      <c r="C181" s="3" t="n">
        <v>46354</v>
      </c>
      <c r="D181" t="inlineStr">
        <is>
          <t>2026-11</t>
        </is>
      </c>
      <c r="E181" t="inlineStr">
        <is>
          <t>Balanced</t>
        </is>
      </c>
      <c r="F181" t="n">
        <v>40288354.25</v>
      </c>
    </row>
    <row r="182">
      <c r="A182" t="inlineStr">
        <is>
          <t>00083</t>
        </is>
      </c>
      <c r="B182" t="inlineStr">
        <is>
          <t>Client 083 Holdings</t>
        </is>
      </c>
      <c r="C182" s="3" t="n">
        <v>46323</v>
      </c>
      <c r="D182" t="inlineStr">
        <is>
          <t>2026-10</t>
        </is>
      </c>
      <c r="E182" t="inlineStr">
        <is>
          <t>Equity</t>
        </is>
      </c>
      <c r="F182" t="n">
        <v>56331945.34</v>
      </c>
    </row>
    <row r="183">
      <c r="A183" t="inlineStr">
        <is>
          <t>00083</t>
        </is>
      </c>
      <c r="B183" t="inlineStr">
        <is>
          <t>Client 083 Holdings</t>
        </is>
      </c>
      <c r="C183" s="3" t="n">
        <v>46354</v>
      </c>
      <c r="D183" t="inlineStr">
        <is>
          <t>2026-11</t>
        </is>
      </c>
      <c r="E183" t="inlineStr">
        <is>
          <t>Equity</t>
        </is>
      </c>
      <c r="F183" t="n">
        <v>28783284.97</v>
      </c>
    </row>
    <row r="184">
      <c r="A184" t="inlineStr">
        <is>
          <t>00084</t>
        </is>
      </c>
      <c r="B184" t="inlineStr">
        <is>
          <t>Client 084 Holdings</t>
        </is>
      </c>
      <c r="C184" s="3" t="n">
        <v>46323</v>
      </c>
      <c r="D184" t="inlineStr">
        <is>
          <t>2026-10</t>
        </is>
      </c>
      <c r="E184" t="inlineStr">
        <is>
          <t>Fixed Income</t>
        </is>
      </c>
      <c r="F184" t="n">
        <v>65367964.64</v>
      </c>
    </row>
    <row r="185">
      <c r="A185" t="inlineStr">
        <is>
          <t>00084</t>
        </is>
      </c>
      <c r="B185" t="inlineStr">
        <is>
          <t>Client 084 Holdings</t>
        </is>
      </c>
      <c r="C185" s="3" t="n">
        <v>46354</v>
      </c>
      <c r="D185" t="inlineStr">
        <is>
          <t>2026-11</t>
        </is>
      </c>
      <c r="E185" t="inlineStr">
        <is>
          <t>Fixed Income</t>
        </is>
      </c>
      <c r="F185" t="n">
        <v>73492089.66</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2"/>
  <sheetViews>
    <sheetView workbookViewId="0">
      <selection activeCell="A1" sqref="A1"/>
    </sheetView>
  </sheetViews>
  <sheetFormatPr baseColWidth="8" defaultRowHeight="15"/>
  <sheetData>
    <row r="1">
      <c r="A1" s="1" t="inlineStr">
        <is>
          <t>Fee schedule -- from Client Onboarding, effective 2026-11-01</t>
        </is>
      </c>
    </row>
    <row r="2">
      <c r="A2" t="inlineStr">
        <is>
          <t>Do not edit. Superseded schedules are kept on the shared drive.</t>
        </is>
      </c>
    </row>
    <row r="3">
      <c r="G3" t="inlineStr">
        <is>
          <t>Minimum fee</t>
        </is>
      </c>
      <c r="H3" t="n">
        <v>750</v>
      </c>
    </row>
    <row r="4">
      <c r="A4" s="1" t="inlineStr">
        <is>
          <t>client_code</t>
        </is>
      </c>
      <c r="B4" s="1" t="inlineStr">
        <is>
          <t>effective_from</t>
        </is>
      </c>
      <c r="C4" s="1" t="inlineStr">
        <is>
          <t>band_floor</t>
        </is>
      </c>
      <c r="D4" s="1" t="inlineStr">
        <is>
          <t>band_ceiling</t>
        </is>
      </c>
      <c r="E4" s="1" t="inlineStr">
        <is>
          <t>bps</t>
        </is>
      </c>
      <c r="G4" t="inlineStr">
        <is>
          <t>Maximum fee</t>
        </is>
      </c>
      <c r="H4" t="n">
        <v>250000</v>
      </c>
    </row>
    <row r="5">
      <c r="C5" t="n">
        <v>0</v>
      </c>
      <c r="D5" t="n">
        <v>5000000</v>
      </c>
      <c r="E5" t="inlineStr">
        <is>
          <t>35.0</t>
        </is>
      </c>
      <c r="G5" t="inlineStr">
        <is>
          <t>Standard discount</t>
        </is>
      </c>
      <c r="H5" t="n">
        <v>0.025</v>
      </c>
    </row>
    <row r="6">
      <c r="C6" t="n">
        <v>5000000</v>
      </c>
      <c r="D6" t="n">
        <v>20000000</v>
      </c>
      <c r="E6" t="inlineStr">
        <is>
          <t>27.5</t>
        </is>
      </c>
    </row>
    <row r="7">
      <c r="C7" t="n">
        <v>20000000</v>
      </c>
      <c r="D7" t="n">
        <v>50000000</v>
      </c>
      <c r="E7" t="inlineStr">
        <is>
          <t>22.0</t>
        </is>
      </c>
    </row>
    <row r="8">
      <c r="C8" t="n">
        <v>50000000</v>
      </c>
      <c r="D8" t="n">
        <v>100000000</v>
      </c>
      <c r="E8" t="inlineStr">
        <is>
          <t>18.5</t>
        </is>
      </c>
    </row>
    <row r="9">
      <c r="A9" t="inlineStr">
        <is>
          <t>00001</t>
        </is>
      </c>
      <c r="B9" s="3" t="n">
        <v>46327</v>
      </c>
      <c r="E9" t="inlineStr">
        <is>
          <t>20.0</t>
        </is>
      </c>
    </row>
    <row r="10">
      <c r="A10" t="inlineStr">
        <is>
          <t>00002</t>
        </is>
      </c>
      <c r="B10" s="3" t="n">
        <v>46327</v>
      </c>
      <c r="E10" t="inlineStr">
        <is>
          <t>21.5</t>
        </is>
      </c>
    </row>
    <row r="11">
      <c r="A11" t="inlineStr">
        <is>
          <t>00003</t>
        </is>
      </c>
      <c r="B11" s="3" t="n">
        <v>46327</v>
      </c>
      <c r="E11" t="inlineStr">
        <is>
          <t>23.0</t>
        </is>
      </c>
    </row>
    <row r="12">
      <c r="A12" t="inlineStr">
        <is>
          <t>00004</t>
        </is>
      </c>
      <c r="B12" s="3" t="n">
        <v>46327</v>
      </c>
      <c r="E12" t="inlineStr">
        <is>
          <t>24.5</t>
        </is>
      </c>
    </row>
    <row r="13">
      <c r="A13" t="inlineStr">
        <is>
          <t>00005</t>
        </is>
      </c>
      <c r="B13" s="3" t="n">
        <v>46327</v>
      </c>
      <c r="E13" t="inlineStr">
        <is>
          <t>26.0</t>
        </is>
      </c>
    </row>
    <row r="14">
      <c r="A14" t="inlineStr">
        <is>
          <t>00006</t>
        </is>
      </c>
      <c r="B14" s="3" t="n">
        <v>46327</v>
      </c>
      <c r="E14" t="inlineStr">
        <is>
          <t>27.5</t>
        </is>
      </c>
    </row>
    <row r="15">
      <c r="A15" t="inlineStr">
        <is>
          <t>00007</t>
        </is>
      </c>
      <c r="B15" s="3" t="n">
        <v>46327</v>
      </c>
      <c r="E15" t="inlineStr">
        <is>
          <t>29.0</t>
        </is>
      </c>
    </row>
    <row r="16">
      <c r="A16" t="inlineStr">
        <is>
          <t>00008</t>
        </is>
      </c>
      <c r="B16" s="3" t="n">
        <v>46327</v>
      </c>
      <c r="E16" t="inlineStr">
        <is>
          <t>30.5</t>
        </is>
      </c>
    </row>
    <row r="17">
      <c r="A17" t="inlineStr">
        <is>
          <t>00009</t>
        </is>
      </c>
      <c r="B17" s="3" t="n">
        <v>46327</v>
      </c>
      <c r="E17" t="inlineStr">
        <is>
          <t>32.0</t>
        </is>
      </c>
    </row>
    <row r="18">
      <c r="A18" t="inlineStr">
        <is>
          <t>00010</t>
        </is>
      </c>
      <c r="B18" s="3" t="n">
        <v>46327</v>
      </c>
      <c r="E18" t="inlineStr">
        <is>
          <t>20.0</t>
        </is>
      </c>
    </row>
    <row r="19">
      <c r="A19" t="inlineStr">
        <is>
          <t>00011</t>
        </is>
      </c>
      <c r="B19" s="3" t="n">
        <v>46327</v>
      </c>
      <c r="E19" t="inlineStr">
        <is>
          <t>21.5</t>
        </is>
      </c>
    </row>
    <row r="20">
      <c r="A20" t="inlineStr">
        <is>
          <t>00012</t>
        </is>
      </c>
      <c r="B20" s="3" t="n">
        <v>46327</v>
      </c>
      <c r="E20" t="inlineStr">
        <is>
          <t>23.0</t>
        </is>
      </c>
    </row>
    <row r="21">
      <c r="A21" t="inlineStr">
        <is>
          <t>00013</t>
        </is>
      </c>
      <c r="B21" s="3" t="n">
        <v>46327</v>
      </c>
      <c r="E21" t="inlineStr">
        <is>
          <t>24.5</t>
        </is>
      </c>
    </row>
    <row r="22">
      <c r="A22" t="inlineStr">
        <is>
          <t>00014</t>
        </is>
      </c>
      <c r="B22" s="3" t="n">
        <v>46327</v>
      </c>
      <c r="E22" t="inlineStr">
        <is>
          <t>26.0</t>
        </is>
      </c>
    </row>
    <row r="23">
      <c r="A23" t="inlineStr">
        <is>
          <t>00015</t>
        </is>
      </c>
      <c r="B23" s="3" t="n">
        <v>46327</v>
      </c>
      <c r="E23" t="inlineStr">
        <is>
          <t>27.5</t>
        </is>
      </c>
    </row>
    <row r="24">
      <c r="A24" t="inlineStr">
        <is>
          <t>00016</t>
        </is>
      </c>
      <c r="B24" s="3" t="n">
        <v>46327</v>
      </c>
      <c r="E24" t="inlineStr">
        <is>
          <t>29.0</t>
        </is>
      </c>
    </row>
    <row r="25">
      <c r="A25" t="inlineStr">
        <is>
          <t>00017</t>
        </is>
      </c>
      <c r="B25" s="3" t="n">
        <v>46327</v>
      </c>
      <c r="E25" t="inlineStr">
        <is>
          <t>30.5</t>
        </is>
      </c>
    </row>
    <row r="26">
      <c r="A26" t="inlineStr">
        <is>
          <t>00018</t>
        </is>
      </c>
      <c r="B26" s="3" t="n">
        <v>46327</v>
      </c>
      <c r="E26" t="inlineStr">
        <is>
          <t>32.0</t>
        </is>
      </c>
    </row>
    <row r="27">
      <c r="A27" t="inlineStr">
        <is>
          <t>00019</t>
        </is>
      </c>
      <c r="B27" s="3" t="n">
        <v>46327</v>
      </c>
      <c r="E27" t="inlineStr">
        <is>
          <t>20.0</t>
        </is>
      </c>
    </row>
    <row r="28">
      <c r="A28" t="inlineStr">
        <is>
          <t>00020</t>
        </is>
      </c>
      <c r="B28" s="3" t="n">
        <v>46327</v>
      </c>
      <c r="E28" t="inlineStr">
        <is>
          <t>21.5</t>
        </is>
      </c>
    </row>
    <row r="29">
      <c r="A29" t="inlineStr">
        <is>
          <t>00021</t>
        </is>
      </c>
      <c r="B29" s="3" t="n">
        <v>46327</v>
      </c>
      <c r="E29" t="inlineStr">
        <is>
          <t>23.0</t>
        </is>
      </c>
    </row>
    <row r="30">
      <c r="A30" t="inlineStr">
        <is>
          <t>00022</t>
        </is>
      </c>
      <c r="B30" s="3" t="n">
        <v>46327</v>
      </c>
      <c r="E30" t="inlineStr">
        <is>
          <t>24.5</t>
        </is>
      </c>
    </row>
    <row r="31">
      <c r="A31" t="inlineStr">
        <is>
          <t>00023</t>
        </is>
      </c>
      <c r="B31" s="3" t="n">
        <v>46327</v>
      </c>
      <c r="E31" t="inlineStr">
        <is>
          <t>26.0</t>
        </is>
      </c>
    </row>
    <row r="32">
      <c r="A32" t="inlineStr">
        <is>
          <t>00024</t>
        </is>
      </c>
      <c r="B32" s="3" t="n">
        <v>46327</v>
      </c>
      <c r="E32" t="inlineStr">
        <is>
          <t>27.5</t>
        </is>
      </c>
    </row>
    <row r="33">
      <c r="A33" t="inlineStr">
        <is>
          <t>00025</t>
        </is>
      </c>
      <c r="B33" s="3" t="n">
        <v>46327</v>
      </c>
      <c r="E33" t="inlineStr">
        <is>
          <t>29.0</t>
        </is>
      </c>
    </row>
    <row r="34">
      <c r="A34" t="inlineStr">
        <is>
          <t>00026</t>
        </is>
      </c>
      <c r="B34" s="3" t="n">
        <v>46327</v>
      </c>
      <c r="E34" t="inlineStr">
        <is>
          <t>30.5</t>
        </is>
      </c>
    </row>
    <row r="35">
      <c r="A35" t="inlineStr">
        <is>
          <t>00027</t>
        </is>
      </c>
      <c r="B35" s="3" t="n">
        <v>46327</v>
      </c>
      <c r="E35" t="inlineStr">
        <is>
          <t>32.0</t>
        </is>
      </c>
    </row>
    <row r="36">
      <c r="A36" t="inlineStr">
        <is>
          <t>00028</t>
        </is>
      </c>
      <c r="B36" s="3" t="n">
        <v>46327</v>
      </c>
      <c r="E36" t="inlineStr">
        <is>
          <t>20.0</t>
        </is>
      </c>
    </row>
    <row r="37">
      <c r="A37" t="inlineStr">
        <is>
          <t>00029</t>
        </is>
      </c>
      <c r="B37" s="3" t="n">
        <v>46327</v>
      </c>
      <c r="E37" t="inlineStr">
        <is>
          <t>21.5</t>
        </is>
      </c>
    </row>
    <row r="38">
      <c r="A38" t="inlineStr">
        <is>
          <t>00030</t>
        </is>
      </c>
      <c r="B38" s="3" t="n">
        <v>46327</v>
      </c>
      <c r="E38" t="inlineStr">
        <is>
          <t>23.0</t>
        </is>
      </c>
    </row>
    <row r="39">
      <c r="A39" t="inlineStr">
        <is>
          <t>00031</t>
        </is>
      </c>
      <c r="B39" s="3" t="n">
        <v>46327</v>
      </c>
      <c r="E39" t="inlineStr">
        <is>
          <t>24.5</t>
        </is>
      </c>
    </row>
    <row r="40">
      <c r="A40" t="inlineStr">
        <is>
          <t>00032</t>
        </is>
      </c>
      <c r="B40" s="3" t="n">
        <v>46327</v>
      </c>
      <c r="E40" t="inlineStr">
        <is>
          <t>26.0</t>
        </is>
      </c>
    </row>
    <row r="41">
      <c r="A41" t="inlineStr">
        <is>
          <t>00033</t>
        </is>
      </c>
      <c r="B41" s="3" t="n">
        <v>46327</v>
      </c>
      <c r="E41" t="inlineStr">
        <is>
          <t>27.5</t>
        </is>
      </c>
    </row>
    <row r="42">
      <c r="A42" t="inlineStr">
        <is>
          <t>00034</t>
        </is>
      </c>
      <c r="B42" s="3" t="n">
        <v>46327</v>
      </c>
      <c r="E42" t="inlineStr">
        <is>
          <t>29.0</t>
        </is>
      </c>
    </row>
    <row r="43">
      <c r="A43" t="inlineStr">
        <is>
          <t>00035</t>
        </is>
      </c>
      <c r="B43" s="3" t="n">
        <v>46327</v>
      </c>
      <c r="E43" t="inlineStr">
        <is>
          <t>30.5</t>
        </is>
      </c>
    </row>
    <row r="44">
      <c r="A44" t="inlineStr">
        <is>
          <t>00036</t>
        </is>
      </c>
      <c r="B44" s="3" t="n">
        <v>46327</v>
      </c>
      <c r="E44" t="inlineStr">
        <is>
          <t>32.0</t>
        </is>
      </c>
    </row>
    <row r="45">
      <c r="A45" t="inlineStr">
        <is>
          <t>00037</t>
        </is>
      </c>
      <c r="B45" s="3" t="n">
        <v>46327</v>
      </c>
      <c r="E45" t="inlineStr">
        <is>
          <t>20.0</t>
        </is>
      </c>
    </row>
    <row r="46">
      <c r="A46" t="inlineStr">
        <is>
          <t>00038</t>
        </is>
      </c>
      <c r="B46" s="3" t="n">
        <v>46327</v>
      </c>
      <c r="E46" t="inlineStr">
        <is>
          <t>21.5</t>
        </is>
      </c>
    </row>
    <row r="47">
      <c r="A47" t="inlineStr">
        <is>
          <t>00039</t>
        </is>
      </c>
      <c r="B47" s="3" t="n">
        <v>46327</v>
      </c>
      <c r="E47" t="inlineStr">
        <is>
          <t>23.0</t>
        </is>
      </c>
    </row>
    <row r="48">
      <c r="A48" t="inlineStr">
        <is>
          <t>00040</t>
        </is>
      </c>
      <c r="B48" s="3" t="n">
        <v>46327</v>
      </c>
      <c r="E48" t="inlineStr">
        <is>
          <t>24.5</t>
        </is>
      </c>
    </row>
    <row r="49">
      <c r="A49" t="inlineStr">
        <is>
          <t>00041</t>
        </is>
      </c>
      <c r="B49" s="3" t="n">
        <v>46327</v>
      </c>
      <c r="E49" t="inlineStr">
        <is>
          <t>26.0</t>
        </is>
      </c>
    </row>
    <row r="50">
      <c r="A50" t="inlineStr">
        <is>
          <t>00042</t>
        </is>
      </c>
      <c r="B50" s="3" t="n">
        <v>46327</v>
      </c>
      <c r="E50" t="inlineStr">
        <is>
          <t>27.5</t>
        </is>
      </c>
    </row>
    <row r="51">
      <c r="A51" t="inlineStr">
        <is>
          <t>00043</t>
        </is>
      </c>
      <c r="B51" s="3" t="n">
        <v>46327</v>
      </c>
      <c r="E51" t="inlineStr">
        <is>
          <t>29.0</t>
        </is>
      </c>
    </row>
    <row r="52">
      <c r="A52" t="inlineStr">
        <is>
          <t>00044</t>
        </is>
      </c>
      <c r="B52" s="3" t="n">
        <v>46327</v>
      </c>
      <c r="E52" t="inlineStr">
        <is>
          <t>30.5</t>
        </is>
      </c>
    </row>
    <row r="53">
      <c r="A53" t="inlineStr">
        <is>
          <t>00045</t>
        </is>
      </c>
      <c r="B53" s="3" t="n">
        <v>46327</v>
      </c>
      <c r="E53" t="inlineStr">
        <is>
          <t>32.0</t>
        </is>
      </c>
    </row>
    <row r="54">
      <c r="A54" t="inlineStr">
        <is>
          <t>00046</t>
        </is>
      </c>
      <c r="B54" s="3" t="n">
        <v>46327</v>
      </c>
      <c r="E54" t="inlineStr">
        <is>
          <t>20.0</t>
        </is>
      </c>
    </row>
    <row r="55">
      <c r="A55" t="inlineStr">
        <is>
          <t>00047</t>
        </is>
      </c>
      <c r="B55" s="3" t="n">
        <v>46327</v>
      </c>
      <c r="E55" t="inlineStr">
        <is>
          <t>21.5</t>
        </is>
      </c>
    </row>
    <row r="56">
      <c r="A56" t="inlineStr">
        <is>
          <t>00048</t>
        </is>
      </c>
      <c r="B56" s="3" t="n">
        <v>46327</v>
      </c>
      <c r="E56" t="inlineStr">
        <is>
          <t>23.0</t>
        </is>
      </c>
    </row>
    <row r="57">
      <c r="A57" t="inlineStr">
        <is>
          <t>00049</t>
        </is>
      </c>
      <c r="B57" s="3" t="n">
        <v>46327</v>
      </c>
      <c r="E57" t="inlineStr">
        <is>
          <t>24.5</t>
        </is>
      </c>
    </row>
    <row r="58">
      <c r="A58" t="inlineStr">
        <is>
          <t>00050</t>
        </is>
      </c>
      <c r="B58" s="3" t="n">
        <v>46327</v>
      </c>
      <c r="E58" t="inlineStr">
        <is>
          <t>26.0</t>
        </is>
      </c>
    </row>
    <row r="59">
      <c r="A59" t="inlineStr">
        <is>
          <t>00051</t>
        </is>
      </c>
      <c r="B59" s="3" t="n">
        <v>46327</v>
      </c>
      <c r="E59" t="inlineStr">
        <is>
          <t>27.5</t>
        </is>
      </c>
    </row>
    <row r="60">
      <c r="A60" t="inlineStr">
        <is>
          <t>00052</t>
        </is>
      </c>
      <c r="B60" s="3" t="n">
        <v>46327</v>
      </c>
      <c r="E60" t="inlineStr">
        <is>
          <t>29.0</t>
        </is>
      </c>
    </row>
    <row r="61">
      <c r="A61" t="inlineStr">
        <is>
          <t>00053</t>
        </is>
      </c>
      <c r="B61" s="3" t="n">
        <v>46327</v>
      </c>
      <c r="E61" t="inlineStr">
        <is>
          <t>30.5</t>
        </is>
      </c>
    </row>
    <row r="62">
      <c r="A62" t="inlineStr">
        <is>
          <t>00054</t>
        </is>
      </c>
      <c r="B62" s="3" t="n">
        <v>46327</v>
      </c>
      <c r="E62" t="inlineStr">
        <is>
          <t>32.0</t>
        </is>
      </c>
    </row>
    <row r="63">
      <c r="A63" t="inlineStr">
        <is>
          <t>00055</t>
        </is>
      </c>
      <c r="B63" s="3" t="n">
        <v>46327</v>
      </c>
      <c r="E63" t="inlineStr">
        <is>
          <t>20.0</t>
        </is>
      </c>
    </row>
    <row r="64">
      <c r="A64" t="inlineStr">
        <is>
          <t>00056</t>
        </is>
      </c>
      <c r="B64" s="3" t="n">
        <v>46327</v>
      </c>
      <c r="E64" t="inlineStr">
        <is>
          <t>21.5</t>
        </is>
      </c>
    </row>
    <row r="65">
      <c r="A65" t="inlineStr">
        <is>
          <t>00057</t>
        </is>
      </c>
      <c r="B65" s="3" t="n">
        <v>46327</v>
      </c>
      <c r="E65" t="inlineStr">
        <is>
          <t>23.0</t>
        </is>
      </c>
    </row>
    <row r="66">
      <c r="A66" t="inlineStr">
        <is>
          <t>00058</t>
        </is>
      </c>
      <c r="B66" s="3" t="n">
        <v>46327</v>
      </c>
      <c r="E66" t="inlineStr">
        <is>
          <t>24.5</t>
        </is>
      </c>
    </row>
    <row r="67">
      <c r="A67" t="inlineStr">
        <is>
          <t>00059</t>
        </is>
      </c>
      <c r="B67" s="3" t="n">
        <v>46327</v>
      </c>
      <c r="E67" t="inlineStr">
        <is>
          <t>26.0</t>
        </is>
      </c>
    </row>
    <row r="68">
      <c r="A68" t="inlineStr">
        <is>
          <t>00060</t>
        </is>
      </c>
      <c r="B68" s="3" t="n">
        <v>46327</v>
      </c>
      <c r="E68" t="inlineStr">
        <is>
          <t>27.5</t>
        </is>
      </c>
    </row>
    <row r="69">
      <c r="A69" t="inlineStr">
        <is>
          <t>00061</t>
        </is>
      </c>
      <c r="B69" s="3" t="n">
        <v>46327</v>
      </c>
      <c r="E69" t="inlineStr">
        <is>
          <t>29.0</t>
        </is>
      </c>
    </row>
    <row r="70">
      <c r="A70" t="inlineStr">
        <is>
          <t>00062</t>
        </is>
      </c>
      <c r="B70" s="3" t="n">
        <v>46327</v>
      </c>
      <c r="E70" t="inlineStr">
        <is>
          <t>30.5</t>
        </is>
      </c>
    </row>
    <row r="71">
      <c r="A71" t="inlineStr">
        <is>
          <t>00063</t>
        </is>
      </c>
      <c r="B71" s="3" t="n">
        <v>46327</v>
      </c>
      <c r="E71" t="inlineStr">
        <is>
          <t>32.0</t>
        </is>
      </c>
    </row>
    <row r="72">
      <c r="A72" t="inlineStr">
        <is>
          <t>00064</t>
        </is>
      </c>
      <c r="B72" s="3" t="n">
        <v>46327</v>
      </c>
      <c r="E72" t="inlineStr">
        <is>
          <t>20.0</t>
        </is>
      </c>
    </row>
    <row r="73">
      <c r="A73" t="inlineStr">
        <is>
          <t>00065</t>
        </is>
      </c>
      <c r="B73" s="3" t="n">
        <v>46327</v>
      </c>
      <c r="E73" t="inlineStr">
        <is>
          <t>21.5</t>
        </is>
      </c>
    </row>
    <row r="74">
      <c r="A74" t="inlineStr">
        <is>
          <t>00066</t>
        </is>
      </c>
      <c r="B74" s="3" t="n">
        <v>46327</v>
      </c>
      <c r="E74" t="inlineStr">
        <is>
          <t>23.0</t>
        </is>
      </c>
    </row>
    <row r="75">
      <c r="A75" t="inlineStr">
        <is>
          <t>00067</t>
        </is>
      </c>
      <c r="B75" s="3" t="n">
        <v>46327</v>
      </c>
      <c r="E75" t="inlineStr">
        <is>
          <t>24.5</t>
        </is>
      </c>
    </row>
    <row r="76">
      <c r="A76" t="inlineStr">
        <is>
          <t>00068</t>
        </is>
      </c>
      <c r="B76" s="3" t="n">
        <v>46327</v>
      </c>
      <c r="E76" t="inlineStr">
        <is>
          <t>26.0</t>
        </is>
      </c>
    </row>
    <row r="77">
      <c r="A77" t="inlineStr">
        <is>
          <t>00069</t>
        </is>
      </c>
      <c r="B77" s="3" t="n">
        <v>46327</v>
      </c>
      <c r="E77" t="inlineStr">
        <is>
          <t>27.5</t>
        </is>
      </c>
    </row>
    <row r="78">
      <c r="A78" t="inlineStr">
        <is>
          <t>00070</t>
        </is>
      </c>
      <c r="B78" s="3" t="n">
        <v>46327</v>
      </c>
      <c r="E78" t="inlineStr">
        <is>
          <t>29.0</t>
        </is>
      </c>
    </row>
    <row r="79">
      <c r="A79" t="inlineStr">
        <is>
          <t>00071</t>
        </is>
      </c>
      <c r="B79" s="3" t="n">
        <v>46327</v>
      </c>
      <c r="E79" t="inlineStr">
        <is>
          <t>30.5</t>
        </is>
      </c>
    </row>
    <row r="80">
      <c r="A80" t="inlineStr">
        <is>
          <t>00072</t>
        </is>
      </c>
      <c r="B80" s="3" t="n">
        <v>46327</v>
      </c>
      <c r="E80" t="inlineStr">
        <is>
          <t>32.0</t>
        </is>
      </c>
    </row>
    <row r="81">
      <c r="A81" t="inlineStr">
        <is>
          <t>00073</t>
        </is>
      </c>
      <c r="B81" s="3" t="n">
        <v>46327</v>
      </c>
      <c r="E81" t="inlineStr">
        <is>
          <t>20.0</t>
        </is>
      </c>
    </row>
    <row r="82">
      <c r="A82" t="inlineStr">
        <is>
          <t>00074</t>
        </is>
      </c>
      <c r="B82" s="3" t="n">
        <v>46327</v>
      </c>
      <c r="E82" t="inlineStr">
        <is>
          <t>21.5</t>
        </is>
      </c>
    </row>
    <row r="83">
      <c r="A83" t="inlineStr">
        <is>
          <t>00075</t>
        </is>
      </c>
      <c r="B83" s="3" t="n">
        <v>46327</v>
      </c>
      <c r="E83" t="inlineStr">
        <is>
          <t>23.0</t>
        </is>
      </c>
    </row>
    <row r="84">
      <c r="A84" t="inlineStr">
        <is>
          <t>00076</t>
        </is>
      </c>
      <c r="B84" s="3" t="n">
        <v>46327</v>
      </c>
      <c r="E84" t="inlineStr">
        <is>
          <t>24.5</t>
        </is>
      </c>
    </row>
    <row r="85">
      <c r="A85" t="inlineStr">
        <is>
          <t>00077</t>
        </is>
      </c>
      <c r="B85" s="3" t="n">
        <v>46327</v>
      </c>
      <c r="E85" t="inlineStr">
        <is>
          <t>26.0</t>
        </is>
      </c>
    </row>
    <row r="86">
      <c r="A86" t="inlineStr">
        <is>
          <t>00078</t>
        </is>
      </c>
      <c r="B86" s="3" t="n">
        <v>46327</v>
      </c>
      <c r="E86" t="inlineStr">
        <is>
          <t>27.5</t>
        </is>
      </c>
    </row>
    <row r="87">
      <c r="A87" t="inlineStr">
        <is>
          <t>00079</t>
        </is>
      </c>
      <c r="B87" s="3" t="n">
        <v>46327</v>
      </c>
      <c r="E87" t="inlineStr">
        <is>
          <t>29.0</t>
        </is>
      </c>
    </row>
    <row r="88">
      <c r="A88" t="inlineStr">
        <is>
          <t>00080</t>
        </is>
      </c>
      <c r="B88" s="3" t="n">
        <v>46327</v>
      </c>
      <c r="E88" t="inlineStr">
        <is>
          <t>30.5</t>
        </is>
      </c>
    </row>
    <row r="89">
      <c r="A89" t="inlineStr">
        <is>
          <t>00081</t>
        </is>
      </c>
      <c r="B89" s="3" t="n">
        <v>46327</v>
      </c>
      <c r="E89" t="inlineStr">
        <is>
          <t>32.0</t>
        </is>
      </c>
    </row>
    <row r="90">
      <c r="A90" t="inlineStr">
        <is>
          <t>00082</t>
        </is>
      </c>
      <c r="B90" s="3" t="n">
        <v>46327</v>
      </c>
      <c r="E90" t="inlineStr">
        <is>
          <t>20.0</t>
        </is>
      </c>
    </row>
    <row r="91">
      <c r="A91" t="inlineStr">
        <is>
          <t>00083</t>
        </is>
      </c>
      <c r="B91" s="3" t="n">
        <v>46327</v>
      </c>
      <c r="E91" t="inlineStr">
        <is>
          <t>21.5</t>
        </is>
      </c>
    </row>
    <row r="92">
      <c r="A92" t="inlineStr">
        <is>
          <t>00084</t>
        </is>
      </c>
      <c r="B92" s="3" t="n">
        <v>46327</v>
      </c>
      <c r="E92" t="inlineStr">
        <is>
          <t>23.0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104"/>
  <sheetViews>
    <sheetView workbookViewId="0">
      <selection activeCell="A1" sqref="A1"/>
    </sheetView>
  </sheetViews>
  <sheetFormatPr baseColWidth="8" defaultRowHeight="15"/>
  <sheetData>
    <row r="1">
      <c r="A1" s="4" t="inlineStr">
        <is>
          <t>Management fee working -- November 2026</t>
        </is>
      </c>
    </row>
    <row r="3">
      <c r="A3" t="inlineStr">
        <is>
          <t>Period</t>
        </is>
      </c>
      <c r="B3" t="inlineStr">
        <is>
          <t>2026-11</t>
        </is>
      </c>
    </row>
    <row r="4">
      <c r="A4" t="inlineStr">
        <is>
          <t>Prepared by</t>
        </is>
      </c>
      <c r="B4" t="inlineStr">
        <is>
          <t>Billing Operations</t>
        </is>
      </c>
    </row>
    <row r="14">
      <c r="A14" t="inlineStr">
        <is>
          <t>2024 flat rate (bps)</t>
        </is>
      </c>
      <c r="B14" t="n">
        <v>26</v>
      </c>
    </row>
    <row r="15">
      <c r="A15" t="inlineStr">
        <is>
          <t>2024 adjustment factor</t>
        </is>
      </c>
      <c r="B15" t="n">
        <v>0.97</v>
      </c>
    </row>
    <row r="18">
      <c r="A18" s="1" t="inlineStr">
        <is>
          <t>Client</t>
        </is>
      </c>
      <c r="B18" s="1" t="inlineStr">
        <is>
          <t>Client name</t>
        </is>
      </c>
      <c r="C18" s="1" t="inlineStr">
        <is>
          <t>Period start</t>
        </is>
      </c>
      <c r="D18" s="1" t="inlineStr">
        <is>
          <t>Period</t>
        </is>
      </c>
      <c r="E18" s="1" t="inlineStr">
        <is>
          <t>Avg AUM (GBP)</t>
        </is>
      </c>
      <c r="F18" s="1" t="inlineStr">
        <is>
          <t>Prior close</t>
        </is>
      </c>
      <c r="G18" s="1" t="inlineStr">
        <is>
          <t>Opening balance</t>
        </is>
      </c>
      <c r="H18" s="1" t="inlineStr">
        <is>
          <t>Tier band</t>
        </is>
      </c>
      <c r="I18" s="1" t="inlineStr">
        <is>
          <t>Tier bps</t>
        </is>
      </c>
      <c r="J18" s="1" t="inlineStr">
        <is>
          <t>Legal entity</t>
        </is>
      </c>
      <c r="K18" s="1" t="inlineStr">
        <is>
          <t>Cost centre</t>
        </is>
      </c>
      <c r="L18" s="1" t="inlineStr">
        <is>
          <t>Gross fee (GBP)</t>
        </is>
      </c>
      <c r="M18" s="1" t="inlineStr">
        <is>
          <t>Days in month</t>
        </is>
      </c>
      <c r="N18" s="1" t="inlineStr">
        <is>
          <t>Days billed</t>
        </is>
      </c>
      <c r="O18" s="1" t="inlineStr">
        <is>
          <t>Pro-rated fee</t>
        </is>
      </c>
      <c r="P18" s="1" t="inlineStr">
        <is>
          <t>Floor applied</t>
        </is>
      </c>
      <c r="Q18" s="1" t="inlineStr">
        <is>
          <t>Cap applied</t>
        </is>
      </c>
      <c r="R18" s="1" t="inlineStr">
        <is>
          <t>Discount</t>
        </is>
      </c>
      <c r="S18" s="1" t="inlineStr">
        <is>
          <t>Net fee (GBP)</t>
        </is>
      </c>
      <c r="T18" s="1" t="inlineStr">
        <is>
          <t>Invoice key</t>
        </is>
      </c>
      <c r="U18" s="1" t="inlineStr">
        <is>
          <t>Positions seen</t>
        </is>
      </c>
      <c r="V18" s="1" t="inlineStr">
        <is>
          <t>Running total</t>
        </is>
      </c>
      <c r="W18" s="1" t="inlineStr">
        <is>
          <t>Weighted check</t>
        </is>
      </c>
      <c r="X18" s="1" t="inlineStr">
        <is>
          <t>Fee band</t>
        </is>
      </c>
      <c r="Y18" s="1" t="inlineStr">
        <is>
          <t>Mandate</t>
        </is>
      </c>
      <c r="Z18" s="1" t="inlineStr">
        <is>
          <t>Billing year</t>
        </is>
      </c>
      <c r="AA18" s="1" t="inlineStr">
        <is>
          <t>Agreed fee</t>
        </is>
      </c>
      <c r="AB18" s="1" t="inlineStr">
        <is>
          <t>Override applied</t>
        </is>
      </c>
      <c r="AC18" s="1" t="inlineStr">
        <is>
          <t>Mandate AUM</t>
        </is>
      </c>
      <c r="AD18" s="1" t="inlineStr">
        <is>
          <t>Share of mandate</t>
        </is>
      </c>
      <c r="AE18" s="1" t="inlineStr">
        <is>
          <t>Accounts on file</t>
        </is>
      </c>
      <c r="AF18" s="1" t="inlineStr">
        <is>
          <t>Latest as-of</t>
        </is>
      </c>
      <c r="AG18" s="1" t="inlineStr">
        <is>
          <t>Old method fee</t>
        </is>
      </c>
      <c r="AH18" s="1" t="inlineStr">
        <is>
          <t>Old method delta</t>
        </is>
      </c>
      <c r="AI18" s="1" t="inlineStr">
        <is>
          <t>2024 adj</t>
        </is>
      </c>
      <c r="AJ18" s="1" t="inlineStr">
        <is>
          <t>2024 note</t>
        </is>
      </c>
    </row>
    <row r="19">
      <c r="A19" t="inlineStr">
        <is>
          <t>00001</t>
        </is>
      </c>
      <c r="B19">
        <f>INDEX('Entity Map'!$B:$B,MATCH($A19,'Entity Map'!$A:$A,0))</f>
        <v/>
      </c>
      <c r="C19">
        <f>DATE(2026,11,1)</f>
        <v/>
      </c>
      <c r="D19">
        <f>TEXT($C19,"yyyy-mm")</f>
        <v/>
      </c>
      <c r="E19">
        <f>AVERAGEIFS(Positions!$F:$F,Positions!$A:$A,$A19)</f>
        <v/>
      </c>
      <c r="F19">
        <f>E19</f>
        <v/>
      </c>
      <c r="G19">
        <f>IF($A19=$A19,F19,E19)</f>
        <v/>
      </c>
      <c r="H19">
        <f>VLOOKUP(E19,'Fee Schedule'!$C$5:$E$11,3,TRUE)</f>
        <v/>
      </c>
      <c r="I19">
        <f>VLOOKUP($A19,'Fee Schedule'!$A$5:$E$92,5,FALSE)</f>
        <v/>
      </c>
      <c r="J19">
        <f>INDEX('Entity Map'!$C:$C,MATCH($A19,'Entity Map'!$A:$A,0))</f>
        <v/>
      </c>
      <c r="K19">
        <f>INDEX('Entity Map'!$D:$D,MATCH($A19,'Entity Map'!$A:$A,0))</f>
        <v/>
      </c>
      <c r="L19">
        <f>ROUND(E19*I19/10000,2)</f>
        <v/>
      </c>
      <c r="M19">
        <f>DAY(EOMONTH($C19,0))</f>
        <v/>
      </c>
      <c r="N19">
        <f>DATEDIF($C19,EOMONTH($C19,0),"d")+1</f>
        <v/>
      </c>
      <c r="O19">
        <f>ROUND(L19*N19/M19,2)</f>
        <v/>
      </c>
      <c r="P19">
        <f>MAX(O19,'Fee Schedule'!$H$3)</f>
        <v/>
      </c>
      <c r="Q19">
        <f>MIN(P19,'Fee Schedule'!$H$4)</f>
        <v/>
      </c>
      <c r="R19">
        <f>IFERROR(Q19*'Fee Schedule'!$H$5,0)</f>
        <v/>
      </c>
      <c r="S19">
        <f>ROUND(Q19-R19,2)</f>
        <v/>
      </c>
      <c r="T19">
        <f>LEFT($A19,3)&amp;"-"&amp;$D19</f>
        <v/>
      </c>
      <c r="U19">
        <f>COUNTIFS(Positions!$A:$A,$A19)</f>
        <v/>
      </c>
      <c r="V19">
        <f>SUM($S$19:S19)</f>
        <v/>
      </c>
      <c r="W19">
        <f>SUMPRODUCT(Positions!$F$4:$F$903,--(Positions!$A$4:$A$903=$A19))</f>
        <v/>
      </c>
      <c r="X19">
        <f>IF(S19&gt;40000,"A",IF(S19&gt;8000,"B","C"))</f>
        <v/>
      </c>
      <c r="Y19">
        <f>UPPER(TRIM(INDEX('Entity Map'!$E:$E,MATCH($A19,'Entity Map'!$A:$A,0))))</f>
        <v/>
      </c>
      <c r="Z19">
        <f>YEAR($C19)</f>
        <v/>
      </c>
      <c r="AA19">
        <f>IFERROR(VLOOKUP($A19,Overrides!$A:$C,3,FALSE),S19)</f>
        <v/>
      </c>
      <c r="AB19">
        <f>IF(AB19=S19,"","OVERRIDE")</f>
        <v/>
      </c>
      <c r="AC19">
        <f>SUMIFS(Positions!$F:$F,Positions!$E:$E,$Y19)</f>
        <v/>
      </c>
      <c r="AD19">
        <f>IFERROR(E19/AD19,0)</f>
        <v/>
      </c>
      <c r="AE19">
        <f>COUNTIF('Entity Map'!$A:$A,$A19)</f>
        <v/>
      </c>
      <c r="AF19">
        <f>MAX(Positions!$C:$C)</f>
        <v/>
      </c>
      <c r="AG19">
        <f>ROUND(E19*$B$14/10000,2)</f>
        <v/>
      </c>
      <c r="AH19">
        <f>AH19-S19</f>
        <v/>
      </c>
      <c r="AI19">
        <f>AI19*$B$15</f>
        <v/>
      </c>
      <c r="AJ19">
        <f>CONCATENATE($A19," / ",TEXT(AJ19,"0.00"))</f>
        <v/>
      </c>
    </row>
    <row r="20">
      <c r="A20" t="inlineStr">
        <is>
          <t>00002</t>
        </is>
      </c>
      <c r="B20">
        <f>INDEX('Entity Map'!$B:$B,MATCH($A20,'Entity Map'!$A:$A,0))</f>
        <v/>
      </c>
      <c r="C20">
        <f>DATE(2026,11,1)</f>
        <v/>
      </c>
      <c r="D20">
        <f>TEXT($C20,"yyyy-mm")</f>
        <v/>
      </c>
      <c r="E20">
        <f>AVERAGEIFS(Positions!$F:$F,Positions!$A:$A,$A20)</f>
        <v/>
      </c>
      <c r="F20">
        <f>E19</f>
        <v/>
      </c>
      <c r="G20">
        <f>IF($A20=$A19,F19,E20)</f>
        <v/>
      </c>
      <c r="H20">
        <f>VLOOKUP(E20,'Fee Schedule'!$C$5:$E$11,3,TRUE)</f>
        <v/>
      </c>
      <c r="I20">
        <f>VLOOKUP($A20,'Fee Schedule'!$A$5:$E$92,5,FALSE)</f>
        <v/>
      </c>
      <c r="J20">
        <f>INDEX('Entity Map'!$C:$C,MATCH($A20,'Entity Map'!$A:$A,0))</f>
        <v/>
      </c>
      <c r="K20">
        <f>INDEX('Entity Map'!$D:$D,MATCH($A20,'Entity Map'!$A:$A,0))</f>
        <v/>
      </c>
      <c r="L20">
        <f>ROUND(E20*I20/10000,2)</f>
        <v/>
      </c>
      <c r="M20">
        <f>DAY(EOMONTH($C20,0))</f>
        <v/>
      </c>
      <c r="N20">
        <f>DATEDIF($C20,EOMONTH($C20,0),"d")+1</f>
        <v/>
      </c>
      <c r="O20">
        <f>ROUND(L20*N20/M20,2)</f>
        <v/>
      </c>
      <c r="P20">
        <f>MAX(O20,'Fee Schedule'!$H$3)</f>
        <v/>
      </c>
      <c r="Q20">
        <f>MIN(P20,'Fee Schedule'!$H$4)</f>
        <v/>
      </c>
      <c r="R20">
        <f>IFERROR(Q20*'Fee Schedule'!$H$5,0)</f>
        <v/>
      </c>
      <c r="S20">
        <f>ROUND(Q20-R20,2)</f>
        <v/>
      </c>
      <c r="T20">
        <f>LEFT($A20,3)&amp;"-"&amp;$D20</f>
        <v/>
      </c>
      <c r="U20">
        <f>COUNTIFS(Positions!$A:$A,$A20)</f>
        <v/>
      </c>
      <c r="V20">
        <f>SUM($S$19:S20)</f>
        <v/>
      </c>
      <c r="W20">
        <f>SUMPRODUCT(Positions!$F$4:$F$903,--(Positions!$A$4:$A$903=$A20))</f>
        <v/>
      </c>
      <c r="X20">
        <f>IF(S20&gt;40000,"A",IF(S20&gt;8000,"B","C"))</f>
        <v/>
      </c>
      <c r="Y20">
        <f>UPPER(TRIM(INDEX('Entity Map'!$E:$E,MATCH($A20,'Entity Map'!$A:$A,0))))</f>
        <v/>
      </c>
      <c r="Z20">
        <f>YEAR($C20)</f>
        <v/>
      </c>
      <c r="AA20">
        <f>IFERROR(VLOOKUP($A20,Overrides!$A:$C,3,FALSE),S20)</f>
        <v/>
      </c>
      <c r="AB20">
        <f>IF(AB20=S20,"","OVERRIDE")</f>
        <v/>
      </c>
      <c r="AC20">
        <f>SUMIFS(Positions!$F:$F,Positions!$E:$E,$Y20)</f>
        <v/>
      </c>
      <c r="AD20">
        <f>IFERROR(E20/AD20,0)</f>
        <v/>
      </c>
      <c r="AE20">
        <f>COUNTIF('Entity Map'!$A:$A,$A20)</f>
        <v/>
      </c>
      <c r="AF20">
        <f>MAX(Positions!$C:$C)</f>
        <v/>
      </c>
      <c r="AG20">
        <f>ROUND(E20*$B$14/10000,2)</f>
        <v/>
      </c>
      <c r="AH20">
        <f>AH20-S20</f>
        <v/>
      </c>
      <c r="AI20">
        <f>AI20*$B$15</f>
        <v/>
      </c>
      <c r="AJ20">
        <f>CONCATENATE($A20," / ",TEXT(AJ20,"0.00"))</f>
        <v/>
      </c>
    </row>
    <row r="21">
      <c r="A21" t="inlineStr">
        <is>
          <t>00003</t>
        </is>
      </c>
      <c r="B21">
        <f>INDEX('Entity Map'!$B:$B,MATCH($A21,'Entity Map'!$A:$A,0))</f>
        <v/>
      </c>
      <c r="C21">
        <f>DATE(2026,11,1)</f>
        <v/>
      </c>
      <c r="D21">
        <f>TEXT($C21,"yyyy-mm")</f>
        <v/>
      </c>
      <c r="E21">
        <f>AVERAGEIFS(Positions!$F:$F,Positions!$A:$A,$A21)</f>
        <v/>
      </c>
      <c r="F21">
        <f>E20</f>
        <v/>
      </c>
      <c r="G21">
        <f>IF($A21=$A20,F20,E21)</f>
        <v/>
      </c>
      <c r="H21">
        <f>VLOOKUP(E21,'Fee Schedule'!$C$5:$E$11,3,TRUE)</f>
        <v/>
      </c>
      <c r="I21">
        <f>VLOOKUP($A21,'Fee Schedule'!$A$5:$E$92,5,FALSE)</f>
        <v/>
      </c>
      <c r="J21">
        <f>INDEX('Entity Map'!$C:$C,MATCH($A21,'Entity Map'!$A:$A,0))</f>
        <v/>
      </c>
      <c r="K21">
        <f>INDEX('Entity Map'!$D:$D,MATCH($A21,'Entity Map'!$A:$A,0))</f>
        <v/>
      </c>
      <c r="L21">
        <f>ROUND(E21*I21/10000,2)</f>
        <v/>
      </c>
      <c r="M21">
        <f>DAY(EOMONTH($C21,0))</f>
        <v/>
      </c>
      <c r="N21">
        <f>DATEDIF($C21,EOMONTH($C21,0),"d")+1</f>
        <v/>
      </c>
      <c r="O21">
        <f>ROUND(L21*N21/M21,2)</f>
        <v/>
      </c>
      <c r="P21">
        <f>MAX(O21,'Fee Schedule'!$H$3)</f>
        <v/>
      </c>
      <c r="Q21">
        <f>MIN(P21,'Fee Schedule'!$H$4)</f>
        <v/>
      </c>
      <c r="R21">
        <f>IFERROR(Q21*'Fee Schedule'!$H$5,0)</f>
        <v/>
      </c>
      <c r="S21">
        <f>ROUND(Q21-R21,2)</f>
        <v/>
      </c>
      <c r="T21">
        <f>LEFT($A21,3)&amp;"-"&amp;$D21</f>
        <v/>
      </c>
      <c r="U21">
        <f>COUNTIFS(Positions!$A:$A,$A21)</f>
        <v/>
      </c>
      <c r="V21">
        <f>SUM($S$19:S21)</f>
        <v/>
      </c>
      <c r="W21">
        <f>SUMPRODUCT(Positions!$F$4:$F$903,--(Positions!$A$4:$A$903=$A21))</f>
        <v/>
      </c>
      <c r="X21">
        <f>IF(S21&gt;40000,"A",IF(S21&gt;8000,"B","C"))</f>
        <v/>
      </c>
      <c r="Y21">
        <f>UPPER(TRIM(INDEX('Entity Map'!$E:$E,MATCH($A21,'Entity Map'!$A:$A,0))))</f>
        <v/>
      </c>
      <c r="Z21">
        <f>YEAR($C21)</f>
        <v/>
      </c>
      <c r="AA21">
        <f>IFERROR(VLOOKUP($A21,Overrides!$A:$C,3,FALSE),S21)</f>
        <v/>
      </c>
      <c r="AB21">
        <f>IF(AB21=S21,"","OVERRIDE")</f>
        <v/>
      </c>
      <c r="AC21">
        <f>SUMIFS(Positions!$F:$F,Positions!$E:$E,$Y21)</f>
        <v/>
      </c>
      <c r="AD21">
        <f>IFERROR(E21/AD21,0)</f>
        <v/>
      </c>
      <c r="AE21">
        <f>COUNTIF('Entity Map'!$A:$A,$A21)</f>
        <v/>
      </c>
      <c r="AF21">
        <f>MAX(Positions!$C:$C)</f>
        <v/>
      </c>
      <c r="AG21">
        <f>ROUND(E21*$B$14/10000,2)</f>
        <v/>
      </c>
      <c r="AH21">
        <f>AH21-S21</f>
        <v/>
      </c>
      <c r="AI21">
        <f>AI21*$B$15</f>
        <v/>
      </c>
      <c r="AJ21">
        <f>CONCATENATE($A21," / ",TEXT(AJ21,"0.00"))</f>
        <v/>
      </c>
    </row>
    <row r="22">
      <c r="A22" t="inlineStr">
        <is>
          <t>00004</t>
        </is>
      </c>
      <c r="B22">
        <f>INDEX('Entity Map'!$B:$B,MATCH($A22,'Entity Map'!$A:$A,0))</f>
        <v/>
      </c>
      <c r="C22">
        <f>DATE(2026,11,1)</f>
        <v/>
      </c>
      <c r="D22">
        <f>TEXT($C22,"yyyy-mm")</f>
        <v/>
      </c>
      <c r="E22">
        <f>AVERAGEIFS(Positions!$F:$F,Positions!$A:$A,$A22)</f>
        <v/>
      </c>
      <c r="F22">
        <f>E21</f>
        <v/>
      </c>
      <c r="G22">
        <f>IF($A22=$A21,F21,E22)</f>
        <v/>
      </c>
      <c r="H22">
        <f>VLOOKUP(E22,'Fee Schedule'!$C$5:$E$11,3,TRUE)</f>
        <v/>
      </c>
      <c r="I22">
        <f>VLOOKUP($A22,'Fee Schedule'!$A$5:$E$92,5,FALSE)</f>
        <v/>
      </c>
      <c r="J22">
        <f>INDEX('Entity Map'!$C:$C,MATCH($A22,'Entity Map'!$A:$A,0))</f>
        <v/>
      </c>
      <c r="K22">
        <f>INDEX('Entity Map'!$D:$D,MATCH($A22,'Entity Map'!$A:$A,0))</f>
        <v/>
      </c>
      <c r="L22">
        <f>ROUND(E22*I22/10000,2)</f>
        <v/>
      </c>
      <c r="M22">
        <f>DAY(EOMONTH($C22,0))</f>
        <v/>
      </c>
      <c r="N22">
        <f>DATEDIF($C22,EOMONTH($C22,0),"d")+1</f>
        <v/>
      </c>
      <c r="O22">
        <f>ROUND(L22*N22/M22,2)</f>
        <v/>
      </c>
      <c r="P22">
        <f>MAX(O22,'Fee Schedule'!$H$3)</f>
        <v/>
      </c>
      <c r="Q22">
        <f>MIN(P22,'Fee Schedule'!$H$4)</f>
        <v/>
      </c>
      <c r="R22">
        <f>IFERROR(Q22*'Fee Schedule'!$H$5,0)</f>
        <v/>
      </c>
      <c r="S22">
        <f>ROUND(Q22-R22,2)</f>
        <v/>
      </c>
      <c r="T22">
        <f>LEFT($A22,3)&amp;"-"&amp;$D22</f>
        <v/>
      </c>
      <c r="U22">
        <f>COUNTIFS(Positions!$A:$A,$A22)</f>
        <v/>
      </c>
      <c r="V22">
        <f>SUM($S$19:S22)</f>
        <v/>
      </c>
      <c r="W22">
        <f>SUMPRODUCT(Positions!$F$4:$F$903,--(Positions!$A$4:$A$903=$A22))</f>
        <v/>
      </c>
      <c r="X22">
        <f>IF(S22&gt;40000,"A",IF(S22&gt;8000,"B","C"))</f>
        <v/>
      </c>
      <c r="Y22">
        <f>UPPER(TRIM(INDEX('Entity Map'!$E:$E,MATCH($A22,'Entity Map'!$A:$A,0))))</f>
        <v/>
      </c>
      <c r="Z22">
        <f>YEAR($C22)</f>
        <v/>
      </c>
      <c r="AA22">
        <f>IFERROR(VLOOKUP($A22,Overrides!$A:$C,3,FALSE),S22)</f>
        <v/>
      </c>
      <c r="AB22">
        <f>IF(AB22=S22,"","OVERRIDE")</f>
        <v/>
      </c>
      <c r="AC22">
        <f>SUMIFS(Positions!$F:$F,Positions!$E:$E,$Y22)</f>
        <v/>
      </c>
      <c r="AD22">
        <f>IFERROR(E22/AD22,0)</f>
        <v/>
      </c>
      <c r="AE22">
        <f>COUNTIF('Entity Map'!$A:$A,$A22)</f>
        <v/>
      </c>
      <c r="AF22">
        <f>MAX(Positions!$C:$C)</f>
        <v/>
      </c>
      <c r="AG22">
        <f>ROUND(E22*$B$14/10000,2)</f>
        <v/>
      </c>
      <c r="AH22">
        <f>AH22-S22</f>
        <v/>
      </c>
      <c r="AI22">
        <f>AI22*$B$15</f>
        <v/>
      </c>
      <c r="AJ22">
        <f>CONCATENATE($A22," / ",TEXT(AJ22,"0.00"))</f>
        <v/>
      </c>
    </row>
    <row r="23">
      <c r="A23" t="inlineStr">
        <is>
          <t>00005</t>
        </is>
      </c>
      <c r="B23">
        <f>INDEX('Entity Map'!$B:$B,MATCH($A23,'Entity Map'!$A:$A,0))</f>
        <v/>
      </c>
      <c r="C23">
        <f>DATE(2026,11,1)</f>
        <v/>
      </c>
      <c r="D23">
        <f>TEXT($C23,"yyyy-mm")</f>
        <v/>
      </c>
      <c r="E23">
        <f>AVERAGEIFS(Positions!$F:$F,Positions!$A:$A,$A23)</f>
        <v/>
      </c>
      <c r="F23">
        <f>E22</f>
        <v/>
      </c>
      <c r="G23">
        <f>IF($A23=$A22,F22,E23)</f>
        <v/>
      </c>
      <c r="H23">
        <f>VLOOKUP(E23,'Fee Schedule'!$C$5:$E$11,3,TRUE)</f>
        <v/>
      </c>
      <c r="I23">
        <f>VLOOKUP($A23,'Fee Schedule'!$A$5:$E$92,5,FALSE)</f>
        <v/>
      </c>
      <c r="J23">
        <f>INDEX('Entity Map'!$C:$C,MATCH($A23,'Entity Map'!$A:$A,0))</f>
        <v/>
      </c>
      <c r="K23">
        <f>INDEX('Entity Map'!$D:$D,MATCH($A23,'Entity Map'!$A:$A,0))</f>
        <v/>
      </c>
      <c r="L23">
        <f>ROUND(E23*I23/10000,2)</f>
        <v/>
      </c>
      <c r="M23">
        <f>DAY(EOMONTH($C23,0))</f>
        <v/>
      </c>
      <c r="N23">
        <f>DATEDIF($C23,EOMONTH($C23,0),"d")+1</f>
        <v/>
      </c>
      <c r="O23">
        <f>ROUND(L23*N23/M23,2)</f>
        <v/>
      </c>
      <c r="P23">
        <f>MAX(O23,'Fee Schedule'!$H$3)</f>
        <v/>
      </c>
      <c r="Q23">
        <f>MIN(P23,'Fee Schedule'!$H$4)</f>
        <v/>
      </c>
      <c r="R23">
        <f>IFERROR(Q23*'Fee Schedule'!$H$5,0)</f>
        <v/>
      </c>
      <c r="S23">
        <f>ROUND(Q23-R23,2)</f>
        <v/>
      </c>
      <c r="T23">
        <f>LEFT($A23,3)&amp;"-"&amp;$D23</f>
        <v/>
      </c>
      <c r="U23">
        <f>COUNTIFS(Positions!$A:$A,$A23)</f>
        <v/>
      </c>
      <c r="V23">
        <f>SUM($S$19:S23)</f>
        <v/>
      </c>
      <c r="W23">
        <f>SUMPRODUCT(Positions!$F$4:$F$903,--(Positions!$A$4:$A$903=$A23))</f>
        <v/>
      </c>
      <c r="X23">
        <f>IF(S23&gt;40000,"A",IF(S23&gt;8000,"B","C"))</f>
        <v/>
      </c>
      <c r="Y23">
        <f>UPPER(TRIM(INDEX('Entity Map'!$E:$E,MATCH($A23,'Entity Map'!$A:$A,0))))</f>
        <v/>
      </c>
      <c r="Z23">
        <f>YEAR($C23)</f>
        <v/>
      </c>
      <c r="AA23">
        <f>IFERROR(VLOOKUP($A23,Overrides!$A:$C,3,FALSE),S23)</f>
        <v/>
      </c>
      <c r="AB23">
        <f>IF(AB23=S23,"","OVERRIDE")</f>
        <v/>
      </c>
      <c r="AC23">
        <f>SUMIFS(Positions!$F:$F,Positions!$E:$E,$Y23)</f>
        <v/>
      </c>
      <c r="AD23">
        <f>IFERROR(E23/AD23,0)</f>
        <v/>
      </c>
      <c r="AE23">
        <f>COUNTIF('Entity Map'!$A:$A,$A23)</f>
        <v/>
      </c>
      <c r="AF23">
        <f>MAX(Positions!$C:$C)</f>
        <v/>
      </c>
      <c r="AG23">
        <f>ROUND(E23*$B$14/10000,2)</f>
        <v/>
      </c>
      <c r="AH23">
        <f>AH23-S23</f>
        <v/>
      </c>
      <c r="AI23">
        <f>AI23*$B$15</f>
        <v/>
      </c>
      <c r="AJ23">
        <f>CONCATENATE($A23," / ",TEXT(AJ23,"0.00"))</f>
        <v/>
      </c>
    </row>
    <row r="24">
      <c r="A24" t="inlineStr">
        <is>
          <t>00006</t>
        </is>
      </c>
      <c r="B24">
        <f>INDEX('Entity Map'!$B:$B,MATCH($A24,'Entity Map'!$A:$A,0))</f>
        <v/>
      </c>
      <c r="C24">
        <f>DATE(2026,11,1)</f>
        <v/>
      </c>
      <c r="D24">
        <f>TEXT($C24,"yyyy-mm")</f>
        <v/>
      </c>
      <c r="E24">
        <f>AVERAGEIFS(Positions!$F:$F,Positions!$A:$A,$A24)</f>
        <v/>
      </c>
      <c r="F24">
        <f>E23</f>
        <v/>
      </c>
      <c r="G24">
        <f>IF($A24=$A23,F23,E24)</f>
        <v/>
      </c>
      <c r="H24">
        <f>VLOOKUP(E24,'Fee Schedule'!$C$5:$E$11,3,TRUE)</f>
        <v/>
      </c>
      <c r="I24">
        <f>VLOOKUP($A24,'Fee Schedule'!$A$5:$E$92,5,FALSE)</f>
        <v/>
      </c>
      <c r="J24">
        <f>INDEX('Entity Map'!$C:$C,MATCH($A24,'Entity Map'!$A:$A,0))</f>
        <v/>
      </c>
      <c r="K24">
        <f>INDEX('Entity Map'!$D:$D,MATCH($A24,'Entity Map'!$A:$A,0))</f>
        <v/>
      </c>
      <c r="L24">
        <f>ROUND(E24*I24/10000,2)</f>
        <v/>
      </c>
      <c r="M24">
        <f>DAY(EOMONTH($C24,0))</f>
        <v/>
      </c>
      <c r="N24">
        <f>DATEDIF($C24,EOMONTH($C24,0),"d")+1</f>
        <v/>
      </c>
      <c r="O24">
        <f>ROUND(L24*N24/M24,2)</f>
        <v/>
      </c>
      <c r="P24">
        <f>MAX(O24,'Fee Schedule'!$H$3)</f>
        <v/>
      </c>
      <c r="Q24">
        <f>MIN(P24,'Fee Schedule'!$H$4)</f>
        <v/>
      </c>
      <c r="R24">
        <f>IFERROR(Q24*'Fee Schedule'!$H$5,0)</f>
        <v/>
      </c>
      <c r="S24">
        <f>ROUND(Q24-R24,2)</f>
        <v/>
      </c>
      <c r="T24">
        <f>LEFT($A24,3)&amp;"-"&amp;$D24</f>
        <v/>
      </c>
      <c r="U24">
        <f>COUNTIFS(Positions!$A:$A,$A24)</f>
        <v/>
      </c>
      <c r="V24">
        <f>SUM($S$19:S24)</f>
        <v/>
      </c>
      <c r="W24">
        <f>SUMPRODUCT(Positions!$F$4:$F$903,--(Positions!$A$4:$A$903=$A24))</f>
        <v/>
      </c>
      <c r="X24">
        <f>IF(S24&gt;40000,"A",IF(S24&gt;8000,"B","C"))</f>
        <v/>
      </c>
      <c r="Y24">
        <f>UPPER(TRIM(INDEX('Entity Map'!$E:$E,MATCH($A24,'Entity Map'!$A:$A,0))))</f>
        <v/>
      </c>
      <c r="Z24">
        <f>YEAR($C24)</f>
        <v/>
      </c>
      <c r="AA24">
        <f>IFERROR(VLOOKUP($A24,Overrides!$A:$C,3,FALSE),S24)</f>
        <v/>
      </c>
      <c r="AB24">
        <f>IF(AB24=S24,"","OVERRIDE")</f>
        <v/>
      </c>
      <c r="AC24">
        <f>SUMIFS(Positions!$F:$F,Positions!$E:$E,$Y24)</f>
        <v/>
      </c>
      <c r="AD24">
        <f>IFERROR(E24/AD24,0)</f>
        <v/>
      </c>
      <c r="AE24">
        <f>COUNTIF('Entity Map'!$A:$A,$A24)</f>
        <v/>
      </c>
      <c r="AF24">
        <f>MAX(Positions!$C:$C)</f>
        <v/>
      </c>
      <c r="AG24">
        <f>ROUND(E24*$B$14/10000,2)</f>
        <v/>
      </c>
      <c r="AH24">
        <f>AH24-S24</f>
        <v/>
      </c>
      <c r="AI24">
        <f>AI24*$B$15</f>
        <v/>
      </c>
      <c r="AJ24">
        <f>CONCATENATE($A24," / ",TEXT(AJ24,"0.00"))</f>
        <v/>
      </c>
    </row>
    <row r="25">
      <c r="A25" t="inlineStr">
        <is>
          <t>00007</t>
        </is>
      </c>
      <c r="B25">
        <f>INDEX('Entity Map'!$B:$B,MATCH($A25,'Entity Map'!$A:$A,0))</f>
        <v/>
      </c>
      <c r="C25">
        <f>DATE(2026,11,1)</f>
        <v/>
      </c>
      <c r="D25">
        <f>TEXT($C25,"yyyy-mm")</f>
        <v/>
      </c>
      <c r="E25">
        <f>AVERAGEIFS(Positions!$F:$F,Positions!$A:$A,$A25)</f>
        <v/>
      </c>
      <c r="F25">
        <f>E24</f>
        <v/>
      </c>
      <c r="G25">
        <f>IF($A25=$A24,F24,E25)</f>
        <v/>
      </c>
      <c r="H25">
        <f>VLOOKUP(E25,'Fee Schedule'!$C$5:$E$11,3,TRUE)</f>
        <v/>
      </c>
      <c r="I25">
        <f>VLOOKUP($A25,'Fee Schedule'!$A$5:$E$92,5,FALSE)</f>
        <v/>
      </c>
      <c r="J25">
        <f>INDEX('Entity Map'!$C:$C,MATCH($A25,'Entity Map'!$A:$A,0))</f>
        <v/>
      </c>
      <c r="K25">
        <f>INDEX('Entity Map'!$D:$D,MATCH($A25,'Entity Map'!$A:$A,0))</f>
        <v/>
      </c>
      <c r="L25">
        <f>ROUND(E25*I25/10000,2)</f>
        <v/>
      </c>
      <c r="M25">
        <f>DAY(EOMONTH($C25,0))</f>
        <v/>
      </c>
      <c r="N25">
        <f>DATEDIF($C25,EOMONTH($C25,0),"d")+1</f>
        <v/>
      </c>
      <c r="O25">
        <f>ROUND(L25*N25/M25,2)</f>
        <v/>
      </c>
      <c r="P25">
        <f>MAX(O25,'Fee Schedule'!$H$3)</f>
        <v/>
      </c>
      <c r="Q25">
        <f>MIN(P25,'Fee Schedule'!$H$4)</f>
        <v/>
      </c>
      <c r="R25">
        <f>IFERROR(Q25*'Fee Schedule'!$H$5,0)</f>
        <v/>
      </c>
      <c r="S25">
        <f>ROUND(Q25-R25,2)</f>
        <v/>
      </c>
      <c r="T25">
        <f>LEFT($A25,3)&amp;"-"&amp;$D25</f>
        <v/>
      </c>
      <c r="U25">
        <f>COUNTIFS(Positions!$A:$A,$A25)</f>
        <v/>
      </c>
      <c r="V25">
        <f>SUM($S$19:S25)</f>
        <v/>
      </c>
      <c r="W25">
        <f>SUMPRODUCT(Positions!$F$4:$F$903,--(Positions!$A$4:$A$903=$A25))</f>
        <v/>
      </c>
      <c r="X25">
        <f>IF(S25&gt;40000,"A",IF(S25&gt;8000,"B","C"))</f>
        <v/>
      </c>
      <c r="Y25">
        <f>UPPER(TRIM(INDEX('Entity Map'!$E:$E,MATCH($A25,'Entity Map'!$A:$A,0))))</f>
        <v/>
      </c>
      <c r="Z25">
        <f>YEAR($C25)</f>
        <v/>
      </c>
      <c r="AA25">
        <f>IFERROR(VLOOKUP($A25,Overrides!$A:$C,3,FALSE),S25)</f>
        <v/>
      </c>
      <c r="AB25">
        <f>IF(AB25=S25,"","OVERRIDE")</f>
        <v/>
      </c>
      <c r="AC25">
        <f>SUMIFS(Positions!$F:$F,Positions!$E:$E,$Y25)</f>
        <v/>
      </c>
      <c r="AD25">
        <f>IFERROR(E25/AD25,0)</f>
        <v/>
      </c>
      <c r="AE25">
        <f>COUNTIF('Entity Map'!$A:$A,$A25)</f>
        <v/>
      </c>
      <c r="AF25">
        <f>MAX(Positions!$C:$C)</f>
        <v/>
      </c>
      <c r="AG25">
        <f>ROUND(E25*$B$14/10000,2)</f>
        <v/>
      </c>
      <c r="AH25">
        <f>AH25-S25</f>
        <v/>
      </c>
      <c r="AI25">
        <f>AI25*$B$15</f>
        <v/>
      </c>
      <c r="AJ25">
        <f>CONCATENATE($A25," / ",TEXT(AJ25,"0.00"))</f>
        <v/>
      </c>
    </row>
    <row r="26">
      <c r="A26" t="inlineStr">
        <is>
          <t>00008</t>
        </is>
      </c>
      <c r="B26">
        <f>INDEX('Entity Map'!$B:$B,MATCH($A26,'Entity Map'!$A:$A,0))</f>
        <v/>
      </c>
      <c r="C26">
        <f>DATE(2026,11,1)</f>
        <v/>
      </c>
      <c r="D26">
        <f>TEXT($C26,"yyyy-mm")</f>
        <v/>
      </c>
      <c r="E26">
        <f>AVERAGEIFS(Positions!$F:$F,Positions!$A:$A,$A26)</f>
        <v/>
      </c>
      <c r="F26">
        <f>E25</f>
        <v/>
      </c>
      <c r="G26">
        <f>IF($A26=$A25,F25,E26)</f>
        <v/>
      </c>
      <c r="H26">
        <f>VLOOKUP(E26,'Fee Schedule'!$C$5:$E$11,3,TRUE)</f>
        <v/>
      </c>
      <c r="I26">
        <f>VLOOKUP($A26,'Fee Schedule'!$A$5:$E$92,5,FALSE)</f>
        <v/>
      </c>
      <c r="J26">
        <f>INDEX('Entity Map'!$C:$C,MATCH($A26,'Entity Map'!$A:$A,0))</f>
        <v/>
      </c>
      <c r="K26">
        <f>INDEX('Entity Map'!$D:$D,MATCH($A26,'Entity Map'!$A:$A,0))</f>
        <v/>
      </c>
      <c r="L26">
        <f>ROUND(E26*I26/10000,2)</f>
        <v/>
      </c>
      <c r="M26">
        <f>DAY(EOMONTH($C26,0))</f>
        <v/>
      </c>
      <c r="N26">
        <f>DATEDIF($C26,EOMONTH($C26,0),"d")+1</f>
        <v/>
      </c>
      <c r="O26">
        <f>ROUND(L26*N26/M26,2)</f>
        <v/>
      </c>
      <c r="P26">
        <f>MAX(O26,'Fee Schedule'!$H$3)</f>
        <v/>
      </c>
      <c r="Q26">
        <f>MIN(P26,'Fee Schedule'!$H$4)</f>
        <v/>
      </c>
      <c r="R26">
        <f>IFERROR(Q26*'Fee Schedule'!$H$5,0)</f>
        <v/>
      </c>
      <c r="S26">
        <f>ROUND(Q26-R26,2)</f>
        <v/>
      </c>
      <c r="T26">
        <f>LEFT($A26,3)&amp;"-"&amp;$D26</f>
        <v/>
      </c>
      <c r="U26">
        <f>COUNTIFS(Positions!$A:$A,$A26)</f>
        <v/>
      </c>
      <c r="V26">
        <f>SUM($S$19:S26)</f>
        <v/>
      </c>
      <c r="W26">
        <f>SUMPRODUCT(Positions!$F$4:$F$903,--(Positions!$A$4:$A$903=$A26))</f>
        <v/>
      </c>
      <c r="X26">
        <f>IF(S26&gt;40000,"A",IF(S26&gt;8000,"B","C"))</f>
        <v/>
      </c>
      <c r="Y26">
        <f>UPPER(TRIM(INDEX('Entity Map'!$E:$E,MATCH($A26,'Entity Map'!$A:$A,0))))</f>
        <v/>
      </c>
      <c r="Z26">
        <f>YEAR($C26)</f>
        <v/>
      </c>
      <c r="AA26">
        <f>IFERROR(VLOOKUP($A26,Overrides!$A:$C,3,FALSE),S26)</f>
        <v/>
      </c>
      <c r="AB26">
        <f>IF(AB26=S26,"","OVERRIDE")</f>
        <v/>
      </c>
      <c r="AC26">
        <f>SUMIFS(Positions!$F:$F,Positions!$E:$E,$Y26)</f>
        <v/>
      </c>
      <c r="AD26">
        <f>IFERROR(E26/AD26,0)</f>
        <v/>
      </c>
      <c r="AE26">
        <f>COUNTIF('Entity Map'!$A:$A,$A26)</f>
        <v/>
      </c>
      <c r="AF26">
        <f>MAX(Positions!$C:$C)</f>
        <v/>
      </c>
      <c r="AG26">
        <f>ROUND(E26*$B$14/10000,2)</f>
        <v/>
      </c>
      <c r="AH26">
        <f>AH26-S26</f>
        <v/>
      </c>
      <c r="AI26">
        <f>AI26*$B$15</f>
        <v/>
      </c>
      <c r="AJ26">
        <f>CONCATENATE($A26," / ",TEXT(AJ26,"0.00"))</f>
        <v/>
      </c>
    </row>
    <row r="27">
      <c r="A27" t="inlineStr">
        <is>
          <t>00009</t>
        </is>
      </c>
      <c r="B27">
        <f>INDEX('Entity Map'!$B:$B,MATCH($A27,'Entity Map'!$A:$A,0))</f>
        <v/>
      </c>
      <c r="C27">
        <f>DATE(2026,11,1)</f>
        <v/>
      </c>
      <c r="D27">
        <f>TEXT($C27,"yyyy-mm")</f>
        <v/>
      </c>
      <c r="E27">
        <f>AVERAGEIFS(Positions!$F:$F,Positions!$A:$A,$A27)</f>
        <v/>
      </c>
      <c r="F27">
        <f>E26</f>
        <v/>
      </c>
      <c r="G27">
        <f>IF($A27=$A26,F26,E27)</f>
        <v/>
      </c>
      <c r="H27">
        <f>VLOOKUP(E27,'Fee Schedule'!$C$5:$E$11,3,TRUE)</f>
        <v/>
      </c>
      <c r="I27">
        <f>VLOOKUP($A27,'Fee Schedule'!$A$5:$E$92,5,FALSE)</f>
        <v/>
      </c>
      <c r="J27">
        <f>INDEX('Entity Map'!$C:$C,MATCH($A27,'Entity Map'!$A:$A,0))</f>
        <v/>
      </c>
      <c r="K27">
        <f>INDEX('Entity Map'!$D:$D,MATCH($A27,'Entity Map'!$A:$A,0))</f>
        <v/>
      </c>
      <c r="L27">
        <f>ROUND(E27*I27/10000,2)</f>
        <v/>
      </c>
      <c r="M27">
        <f>DAY(EOMONTH($C27,0))</f>
        <v/>
      </c>
      <c r="N27">
        <f>DATEDIF($C27,EOMONTH($C27,0),"d")+1</f>
        <v/>
      </c>
      <c r="O27">
        <f>ROUND(L27*N27/M27,2)</f>
        <v/>
      </c>
      <c r="P27">
        <f>MAX(O27,'Fee Schedule'!$H$3)</f>
        <v/>
      </c>
      <c r="Q27">
        <f>MIN(P27,'Fee Schedule'!$H$4)</f>
        <v/>
      </c>
      <c r="R27">
        <f>IFERROR(Q27*'Fee Schedule'!$H$5,0)</f>
        <v/>
      </c>
      <c r="S27">
        <f>ROUND(Q27-R27,2)</f>
        <v/>
      </c>
      <c r="T27">
        <f>LEFT($A27,3)&amp;"-"&amp;$D27</f>
        <v/>
      </c>
      <c r="U27">
        <f>COUNTIFS(Positions!$A:$A,$A27)</f>
        <v/>
      </c>
      <c r="V27">
        <f>SUM($S$19:S27)</f>
        <v/>
      </c>
      <c r="W27">
        <f>SUMPRODUCT(Positions!$F$4:$F$903,--(Positions!$A$4:$A$903=$A27))</f>
        <v/>
      </c>
      <c r="X27">
        <f>IF(S27&gt;40000,"A",IF(S27&gt;8000,"B","C"))</f>
        <v/>
      </c>
      <c r="Y27">
        <f>UPPER(TRIM(INDEX('Entity Map'!$E:$E,MATCH($A27,'Entity Map'!$A:$A,0))))</f>
        <v/>
      </c>
      <c r="Z27">
        <f>YEAR($C27)</f>
        <v/>
      </c>
      <c r="AA27">
        <f>IFERROR(VLOOKUP($A27,Overrides!$A:$C,3,FALSE),S27)</f>
        <v/>
      </c>
      <c r="AB27">
        <f>IF(AB27=S27,"","OVERRIDE")</f>
        <v/>
      </c>
      <c r="AC27">
        <f>SUMIFS(Positions!$F:$F,Positions!$E:$E,$Y27)</f>
        <v/>
      </c>
      <c r="AD27">
        <f>IFERROR(E27/AD27,0)</f>
        <v/>
      </c>
      <c r="AE27">
        <f>COUNTIF('Entity Map'!$A:$A,$A27)</f>
        <v/>
      </c>
      <c r="AF27">
        <f>MAX(Positions!$C:$C)</f>
        <v/>
      </c>
      <c r="AG27">
        <f>ROUND(E27*$B$14/10000,2)</f>
        <v/>
      </c>
      <c r="AH27">
        <f>AH27-S27</f>
        <v/>
      </c>
      <c r="AI27">
        <f>AI27*$B$15</f>
        <v/>
      </c>
      <c r="AJ27">
        <f>CONCATENATE($A27," / ",TEXT(AJ27,"0.00"))</f>
        <v/>
      </c>
    </row>
    <row r="28">
      <c r="A28" t="inlineStr">
        <is>
          <t>00010</t>
        </is>
      </c>
      <c r="B28">
        <f>INDEX('Entity Map'!$B:$B,MATCH($A28,'Entity Map'!$A:$A,0))</f>
        <v/>
      </c>
      <c r="C28">
        <f>DATE(2026,11,1)</f>
        <v/>
      </c>
      <c r="D28">
        <f>TEXT($C28,"yyyy-mm")</f>
        <v/>
      </c>
      <c r="E28">
        <f>AVERAGEIFS(Positions!$F:$F,Positions!$A:$A,$A28)</f>
        <v/>
      </c>
      <c r="F28">
        <f>E27</f>
        <v/>
      </c>
      <c r="G28">
        <f>IF($A28=$A27,F27,E28)</f>
        <v/>
      </c>
      <c r="H28">
        <f>VLOOKUP(E28,'Fee Schedule'!$C$5:$E$11,3,TRUE)</f>
        <v/>
      </c>
      <c r="I28">
        <f>VLOOKUP($A28,'Fee Schedule'!$A$5:$E$92,5,FALSE)</f>
        <v/>
      </c>
      <c r="J28">
        <f>INDEX('Entity Map'!$C:$C,MATCH($A28,'Entity Map'!$A:$A,0))</f>
        <v/>
      </c>
      <c r="K28">
        <f>INDEX('Entity Map'!$D:$D,MATCH($A28,'Entity Map'!$A:$A,0))</f>
        <v/>
      </c>
      <c r="L28">
        <f>ROUND(E28*I28/10000,2)</f>
        <v/>
      </c>
      <c r="M28">
        <f>DAY(EOMONTH($C28,0))</f>
        <v/>
      </c>
      <c r="N28">
        <f>DATEDIF($C28,EOMONTH($C28,0),"d")+1</f>
        <v/>
      </c>
      <c r="O28">
        <f>ROUND(L28*N28/M28,2)</f>
        <v/>
      </c>
      <c r="P28">
        <f>MAX(O28,'Fee Schedule'!$H$3)</f>
        <v/>
      </c>
      <c r="Q28">
        <f>MIN(P28,'Fee Schedule'!$H$4)</f>
        <v/>
      </c>
      <c r="R28">
        <f>IFERROR(Q28*'Fee Schedule'!$H$5,0)</f>
        <v/>
      </c>
      <c r="S28">
        <f>ROUND(Q28-R28,2)</f>
        <v/>
      </c>
      <c r="T28">
        <f>LEFT($A28,3)&amp;"-"&amp;$D28</f>
        <v/>
      </c>
      <c r="U28">
        <f>COUNTIFS(Positions!$A:$A,$A28)</f>
        <v/>
      </c>
      <c r="V28">
        <f>SUM($S$19:S28)</f>
        <v/>
      </c>
      <c r="W28">
        <f>SUMPRODUCT(Positions!$F$4:$F$903,--(Positions!$A$4:$A$903=$A28))</f>
        <v/>
      </c>
      <c r="X28">
        <f>IF(S28&gt;40000,"A",IF(S28&gt;8000,"B","C"))</f>
        <v/>
      </c>
      <c r="Y28">
        <f>UPPER(TRIM(INDEX('Entity Map'!$E:$E,MATCH($A28,'Entity Map'!$A:$A,0))))</f>
        <v/>
      </c>
      <c r="Z28">
        <f>YEAR($C28)</f>
        <v/>
      </c>
      <c r="AA28">
        <f>IFERROR(VLOOKUP($A28,Overrides!$A:$C,3,FALSE),S28)</f>
        <v/>
      </c>
      <c r="AB28">
        <f>IF(AB28=S28,"","OVERRIDE")</f>
        <v/>
      </c>
      <c r="AC28">
        <f>SUMIFS(Positions!$F:$F,Positions!$E:$E,$Y28)</f>
        <v/>
      </c>
      <c r="AD28">
        <f>IFERROR(E28/AD28,0)</f>
        <v/>
      </c>
      <c r="AE28">
        <f>COUNTIF('Entity Map'!$A:$A,$A28)</f>
        <v/>
      </c>
      <c r="AF28">
        <f>MAX(Positions!$C:$C)</f>
        <v/>
      </c>
      <c r="AG28">
        <f>ROUND(E28*$B$14/10000,2)</f>
        <v/>
      </c>
      <c r="AH28">
        <f>AH28-S28</f>
        <v/>
      </c>
      <c r="AI28">
        <f>AI28*$B$15</f>
        <v/>
      </c>
      <c r="AJ28">
        <f>CONCATENATE($A28," / ",TEXT(AJ28,"0.00"))</f>
        <v/>
      </c>
    </row>
    <row r="29">
      <c r="A29" t="inlineStr">
        <is>
          <t>00011</t>
        </is>
      </c>
      <c r="B29">
        <f>INDEX('Entity Map'!$B:$B,MATCH($A29,'Entity Map'!$A:$A,0))</f>
        <v/>
      </c>
      <c r="C29">
        <f>DATE(2026,11,1)</f>
        <v/>
      </c>
      <c r="D29">
        <f>TEXT($C29,"yyyy-mm")</f>
        <v/>
      </c>
      <c r="E29">
        <f>AVERAGEIFS(Positions!$F:$F,Positions!$A:$A,$A29)</f>
        <v/>
      </c>
      <c r="F29">
        <f>E28</f>
        <v/>
      </c>
      <c r="G29">
        <f>IF($A29=$A28,F28,E29)</f>
        <v/>
      </c>
      <c r="H29">
        <f>VLOOKUP(E29,'Fee Schedule'!$C$5:$E$11,3,TRUE)</f>
        <v/>
      </c>
      <c r="I29">
        <f>VLOOKUP($A29,'Fee Schedule'!$A$5:$E$92,5,FALSE)</f>
        <v/>
      </c>
      <c r="J29">
        <f>INDEX('Entity Map'!$C:$C,MATCH($A29,'Entity Map'!$A:$A,0))</f>
        <v/>
      </c>
      <c r="K29">
        <f>INDEX('Entity Map'!$D:$D,MATCH($A29,'Entity Map'!$A:$A,0))</f>
        <v/>
      </c>
      <c r="L29">
        <f>ROUND(E29*I29/10000,2)</f>
        <v/>
      </c>
      <c r="M29">
        <f>DAY(EOMONTH($C29,0))</f>
        <v/>
      </c>
      <c r="N29">
        <f>DATEDIF($C29,EOMONTH($C29,0),"d")+1</f>
        <v/>
      </c>
      <c r="O29">
        <f>ROUND(L29*N29/M29,2)</f>
        <v/>
      </c>
      <c r="P29">
        <f>MAX(O29,'Fee Schedule'!$H$3)</f>
        <v/>
      </c>
      <c r="Q29">
        <f>MIN(P29,'Fee Schedule'!$H$4)</f>
        <v/>
      </c>
      <c r="R29">
        <f>IFERROR(Q29*'Fee Schedule'!$H$5,0)</f>
        <v/>
      </c>
      <c r="S29">
        <f>ROUND(Q29-R29,2)</f>
        <v/>
      </c>
      <c r="T29">
        <f>LEFT($A29,3)&amp;"-"&amp;$D29</f>
        <v/>
      </c>
      <c r="U29">
        <f>COUNTIFS(Positions!$A:$A,$A29)</f>
        <v/>
      </c>
      <c r="V29">
        <f>SUM($S$19:S29)</f>
        <v/>
      </c>
      <c r="W29">
        <f>SUMPRODUCT(Positions!$F$4:$F$903,--(Positions!$A$4:$A$903=$A29))</f>
        <v/>
      </c>
      <c r="X29">
        <f>IF(S29&gt;40000,"A",IF(S29&gt;8000,"B","C"))</f>
        <v/>
      </c>
      <c r="Y29">
        <f>UPPER(TRIM(INDEX('Entity Map'!$E:$E,MATCH($A29,'Entity Map'!$A:$A,0))))</f>
        <v/>
      </c>
      <c r="Z29">
        <f>YEAR($C29)</f>
        <v/>
      </c>
      <c r="AA29">
        <f>IFERROR(VLOOKUP($A29,Overrides!$A:$C,3,FALSE),S29)</f>
        <v/>
      </c>
      <c r="AB29">
        <f>IF(AB29=S29,"","OVERRIDE")</f>
        <v/>
      </c>
      <c r="AC29">
        <f>SUMIFS(Positions!$F:$F,Positions!$E:$E,$Y29)</f>
        <v/>
      </c>
      <c r="AD29">
        <f>IFERROR(E29/AD29,0)</f>
        <v/>
      </c>
      <c r="AE29">
        <f>COUNTIF('Entity Map'!$A:$A,$A29)</f>
        <v/>
      </c>
      <c r="AF29">
        <f>MAX(Positions!$C:$C)</f>
        <v/>
      </c>
      <c r="AG29">
        <f>ROUND(E29*$B$14/10000,2)</f>
        <v/>
      </c>
      <c r="AH29">
        <f>AH29-S29</f>
        <v/>
      </c>
      <c r="AI29">
        <f>AI29*$B$15</f>
        <v/>
      </c>
      <c r="AJ29">
        <f>CONCATENATE($A29," / ",TEXT(AJ29,"0.00"))</f>
        <v/>
      </c>
    </row>
    <row r="30">
      <c r="A30" t="inlineStr">
        <is>
          <t>00012</t>
        </is>
      </c>
      <c r="B30">
        <f>INDEX('Entity Map'!$B:$B,MATCH($A30,'Entity Map'!$A:$A,0))</f>
        <v/>
      </c>
      <c r="C30">
        <f>DATE(2026,11,1)</f>
        <v/>
      </c>
      <c r="D30">
        <f>TEXT($C30,"yyyy-mm")</f>
        <v/>
      </c>
      <c r="E30">
        <f>AVERAGEIFS(Positions!$F:$F,Positions!$A:$A,$A30)</f>
        <v/>
      </c>
      <c r="F30">
        <f>E29</f>
        <v/>
      </c>
      <c r="G30">
        <f>IF($A30=$A29,F29,E30)</f>
        <v/>
      </c>
      <c r="H30">
        <f>VLOOKUP(E30,'Fee Schedule'!$C$5:$E$11,3,TRUE)</f>
        <v/>
      </c>
      <c r="I30">
        <f>VLOOKUP($A30,'Fee Schedule'!$A$5:$E$92,5,FALSE)</f>
        <v/>
      </c>
      <c r="J30">
        <f>INDEX('Entity Map'!$C:$C,MATCH($A30,'Entity Map'!$A:$A,0))</f>
        <v/>
      </c>
      <c r="K30">
        <f>INDEX('Entity Map'!$D:$D,MATCH($A30,'Entity Map'!$A:$A,0))</f>
        <v/>
      </c>
      <c r="L30">
        <f>ROUND(E30*I30/10000,2)</f>
        <v/>
      </c>
      <c r="M30">
        <f>DAY(EOMONTH($C30,0))</f>
        <v/>
      </c>
      <c r="N30">
        <f>DATEDIF($C30,EOMONTH($C30,0),"d")+1</f>
        <v/>
      </c>
      <c r="O30">
        <f>ROUND(L30*N30/M30,2)</f>
        <v/>
      </c>
      <c r="P30">
        <f>MAX(O30,'Fee Schedule'!$H$3)</f>
        <v/>
      </c>
      <c r="Q30">
        <f>MIN(P30,'Fee Schedule'!$H$4)</f>
        <v/>
      </c>
      <c r="R30">
        <f>IFERROR(Q30*'Fee Schedule'!$H$5,0)</f>
        <v/>
      </c>
      <c r="S30">
        <f>ROUND(Q30-R30,2)</f>
        <v/>
      </c>
      <c r="T30">
        <f>LEFT($A30,3)&amp;"-"&amp;$D30</f>
        <v/>
      </c>
      <c r="U30">
        <f>COUNTIFS(Positions!$A:$A,$A30)</f>
        <v/>
      </c>
      <c r="V30">
        <f>SUM($S$19:S30)</f>
        <v/>
      </c>
      <c r="W30">
        <f>SUMPRODUCT(Positions!$F$4:$F$903,--(Positions!$A$4:$A$903=$A30))</f>
        <v/>
      </c>
      <c r="X30">
        <f>IF(S30&gt;40000,"A",IF(S30&gt;8000,"B","C"))</f>
        <v/>
      </c>
      <c r="Y30">
        <f>UPPER(TRIM(INDEX('Entity Map'!$E:$E,MATCH($A30,'Entity Map'!$A:$A,0))))</f>
        <v/>
      </c>
      <c r="Z30">
        <f>YEAR($C30)</f>
        <v/>
      </c>
      <c r="AA30">
        <f>IFERROR(VLOOKUP($A30,Overrides!$A:$C,3,FALSE),S30)</f>
        <v/>
      </c>
      <c r="AB30">
        <f>IF(AB30=S30,"","OVERRIDE")</f>
        <v/>
      </c>
      <c r="AC30">
        <f>SUMIFS(Positions!$F:$F,Positions!$E:$E,$Y30)</f>
        <v/>
      </c>
      <c r="AD30">
        <f>IFERROR(E30/AD30,0)</f>
        <v/>
      </c>
      <c r="AE30">
        <f>COUNTIF('Entity Map'!$A:$A,$A30)</f>
        <v/>
      </c>
      <c r="AF30">
        <f>MAX(Positions!$C:$C)</f>
        <v/>
      </c>
      <c r="AG30">
        <f>ROUND(E30*$B$14/10000,2)</f>
        <v/>
      </c>
      <c r="AH30">
        <f>AH30-S30</f>
        <v/>
      </c>
      <c r="AI30">
        <f>AI30*$B$15</f>
        <v/>
      </c>
      <c r="AJ30">
        <f>CONCATENATE($A30," / ",TEXT(AJ30,"0.00"))</f>
        <v/>
      </c>
    </row>
    <row r="31">
      <c r="A31" t="inlineStr">
        <is>
          <t>00013</t>
        </is>
      </c>
      <c r="B31">
        <f>INDEX('Entity Map'!$B:$B,MATCH($A31,'Entity Map'!$A:$A,0))</f>
        <v/>
      </c>
      <c r="C31">
        <f>DATE(2026,11,1)</f>
        <v/>
      </c>
      <c r="D31">
        <f>TEXT($C31,"yyyy-mm")</f>
        <v/>
      </c>
      <c r="E31">
        <f>AVERAGEIFS(Positions!$F:$F,Positions!$A:$A,$A31)</f>
        <v/>
      </c>
      <c r="F31">
        <f>E30</f>
        <v/>
      </c>
      <c r="G31">
        <f>IF($A31=$A30,F30,E31)</f>
        <v/>
      </c>
      <c r="H31">
        <f>VLOOKUP(E31,'Fee Schedule'!$C$5:$E$11,3,TRUE)</f>
        <v/>
      </c>
      <c r="I31">
        <f>VLOOKUP($A31,'Fee Schedule'!$A$5:$E$92,5,FALSE)</f>
        <v/>
      </c>
      <c r="J31">
        <f>INDEX('Entity Map'!$C:$C,MATCH($A31,'Entity Map'!$A:$A,0))</f>
        <v/>
      </c>
      <c r="K31">
        <f>INDEX('Entity Map'!$D:$D,MATCH($A31,'Entity Map'!$A:$A,0))</f>
        <v/>
      </c>
      <c r="L31">
        <f>ROUND(E31*I31/10000,2)</f>
        <v/>
      </c>
      <c r="M31">
        <f>DAY(EOMONTH($C31,0))</f>
        <v/>
      </c>
      <c r="N31">
        <f>DATEDIF($C31,EOMONTH($C31,0),"d")+1</f>
        <v/>
      </c>
      <c r="O31">
        <f>ROUND(L31*N31/M31,2)</f>
        <v/>
      </c>
      <c r="P31">
        <f>MAX(O31,'Fee Schedule'!$H$3)</f>
        <v/>
      </c>
      <c r="Q31">
        <f>MIN(P31,'Fee Schedule'!$H$4)</f>
        <v/>
      </c>
      <c r="R31">
        <f>IFERROR(Q31*'Fee Schedule'!$H$5,0)</f>
        <v/>
      </c>
      <c r="S31">
        <f>ROUND(Q31-R31,2)</f>
        <v/>
      </c>
      <c r="T31">
        <f>LEFT($A31,3)&amp;"-"&amp;$D31</f>
        <v/>
      </c>
      <c r="U31">
        <f>COUNTIFS(Positions!$A:$A,$A31)</f>
        <v/>
      </c>
      <c r="V31">
        <f>SUM($S$19:S31)</f>
        <v/>
      </c>
      <c r="W31">
        <f>SUMPRODUCT(Positions!$F$4:$F$903,--(Positions!$A$4:$A$903=$A31))</f>
        <v/>
      </c>
      <c r="X31">
        <f>IF(S31&gt;40000,"A",IF(S31&gt;8000,"B","C"))</f>
        <v/>
      </c>
      <c r="Y31">
        <f>UPPER(TRIM(INDEX('Entity Map'!$E:$E,MATCH($A31,'Entity Map'!$A:$A,0))))</f>
        <v/>
      </c>
      <c r="Z31">
        <f>YEAR($C31)</f>
        <v/>
      </c>
      <c r="AA31">
        <f>IFERROR(VLOOKUP($A31,Overrides!$A:$C,3,FALSE),S31)</f>
        <v/>
      </c>
      <c r="AB31">
        <f>IF(AB31=S31,"","OVERRIDE")</f>
        <v/>
      </c>
      <c r="AC31">
        <f>SUMIFS(Positions!$F:$F,Positions!$E:$E,$Y31)</f>
        <v/>
      </c>
      <c r="AD31">
        <f>IFERROR(E31/AD31,0)</f>
        <v/>
      </c>
      <c r="AE31">
        <f>COUNTIF('Entity Map'!$A:$A,$A31)</f>
        <v/>
      </c>
      <c r="AF31">
        <f>MAX(Positions!$C:$C)</f>
        <v/>
      </c>
      <c r="AG31">
        <f>ROUND(E31*$B$14/10000,2)</f>
        <v/>
      </c>
      <c r="AH31">
        <f>AH31-S31</f>
        <v/>
      </c>
      <c r="AI31">
        <f>AI31*$B$15</f>
        <v/>
      </c>
      <c r="AJ31">
        <f>CONCATENATE($A31," / ",TEXT(AJ31,"0.00"))</f>
        <v/>
      </c>
    </row>
    <row r="32">
      <c r="A32" t="inlineStr">
        <is>
          <t>00014</t>
        </is>
      </c>
      <c r="B32">
        <f>INDEX('Entity Map'!$B:$B,MATCH($A32,'Entity Map'!$A:$A,0))</f>
        <v/>
      </c>
      <c r="C32">
        <f>DATE(2026,11,1)</f>
        <v/>
      </c>
      <c r="D32">
        <f>TEXT($C32,"yyyy-mm")</f>
        <v/>
      </c>
      <c r="E32">
        <f>AVERAGEIFS(Positions!$F:$F,Positions!$A:$A,$A32)</f>
        <v/>
      </c>
      <c r="F32">
        <f>E31</f>
        <v/>
      </c>
      <c r="G32">
        <f>IF($A32=$A31,F31,E32)</f>
        <v/>
      </c>
      <c r="H32">
        <f>VLOOKUP(E32,'Fee Schedule'!$C$5:$E$11,3,TRUE)</f>
        <v/>
      </c>
      <c r="I32">
        <f>VLOOKUP($A32,'Fee Schedule'!$A$5:$E$92,5,FALSE)</f>
        <v/>
      </c>
      <c r="J32">
        <f>INDEX('Entity Map'!$C:$C,MATCH($A32,'Entity Map'!$A:$A,0))</f>
        <v/>
      </c>
      <c r="K32">
        <f>INDEX('Entity Map'!$D:$D,MATCH($A32,'Entity Map'!$A:$A,0))</f>
        <v/>
      </c>
      <c r="L32">
        <f>ROUND(E32*I32/10000,2)</f>
        <v/>
      </c>
      <c r="M32">
        <f>DAY(EOMONTH($C32,0))</f>
        <v/>
      </c>
      <c r="N32">
        <f>DATEDIF($C32,EOMONTH($C32,0),"d")+1</f>
        <v/>
      </c>
      <c r="O32">
        <f>ROUND(L32*N32/M32,2)</f>
        <v/>
      </c>
      <c r="P32">
        <f>MAX(O32,'Fee Schedule'!$H$3)</f>
        <v/>
      </c>
      <c r="Q32">
        <f>MIN(P32,'Fee Schedule'!$H$4)</f>
        <v/>
      </c>
      <c r="R32">
        <f>IFERROR(Q32*'Fee Schedule'!$H$5,0)</f>
        <v/>
      </c>
      <c r="S32">
        <f>ROUND(Q32-R32,2)</f>
        <v/>
      </c>
      <c r="T32">
        <f>LEFT($A32,3)&amp;"-"&amp;$D32</f>
        <v/>
      </c>
      <c r="U32">
        <f>COUNTIFS(Positions!$A:$A,$A32)</f>
        <v/>
      </c>
      <c r="V32">
        <f>SUM($S$19:S32)</f>
        <v/>
      </c>
      <c r="W32">
        <f>SUMPRODUCT(Positions!$F$4:$F$903,--(Positions!$A$4:$A$903=$A32))</f>
        <v/>
      </c>
      <c r="X32">
        <f>IF(S32&gt;40000,"A",IF(S32&gt;8000,"B","C"))</f>
        <v/>
      </c>
      <c r="Y32">
        <f>UPPER(TRIM(INDEX('Entity Map'!$E:$E,MATCH($A32,'Entity Map'!$A:$A,0))))</f>
        <v/>
      </c>
      <c r="Z32">
        <f>YEAR($C32)</f>
        <v/>
      </c>
      <c r="AA32">
        <f>IFERROR(VLOOKUP($A32,Overrides!$A:$C,3,FALSE),S32)</f>
        <v/>
      </c>
      <c r="AB32">
        <f>IF(AB32=S32,"","OVERRIDE")</f>
        <v/>
      </c>
      <c r="AC32">
        <f>SUMIFS(Positions!$F:$F,Positions!$E:$E,$Y32)</f>
        <v/>
      </c>
      <c r="AD32">
        <f>IFERROR(E32/AD32,0)</f>
        <v/>
      </c>
      <c r="AE32">
        <f>COUNTIF('Entity Map'!$A:$A,$A32)</f>
        <v/>
      </c>
      <c r="AF32">
        <f>MAX(Positions!$C:$C)</f>
        <v/>
      </c>
      <c r="AG32">
        <f>ROUND(E32*$B$14/10000,2)</f>
        <v/>
      </c>
      <c r="AH32">
        <f>AH32-S32</f>
        <v/>
      </c>
      <c r="AI32">
        <f>AI32*$B$15</f>
        <v/>
      </c>
      <c r="AJ32">
        <f>CONCATENATE($A32," / ",TEXT(AJ32,"0.00"))</f>
        <v/>
      </c>
    </row>
    <row r="33">
      <c r="A33" t="inlineStr">
        <is>
          <t>00015</t>
        </is>
      </c>
      <c r="B33">
        <f>INDEX('Entity Map'!$B:$B,MATCH($A33,'Entity Map'!$A:$A,0))</f>
        <v/>
      </c>
      <c r="C33">
        <f>DATE(2026,11,1)</f>
        <v/>
      </c>
      <c r="D33">
        <f>TEXT($C33,"yyyy-mm")</f>
        <v/>
      </c>
      <c r="E33">
        <f>AVERAGEIFS(Positions!$F:$F,Positions!$A:$A,$A33)</f>
        <v/>
      </c>
      <c r="F33">
        <f>E32</f>
        <v/>
      </c>
      <c r="G33">
        <f>IF($A33=$A32,F32,E33)</f>
        <v/>
      </c>
      <c r="H33">
        <f>VLOOKUP(E33,'Fee Schedule'!$C$5:$E$11,3,TRUE)</f>
        <v/>
      </c>
      <c r="I33">
        <f>VLOOKUP($A33,'Fee Schedule'!$A$5:$E$92,5,FALSE)</f>
        <v/>
      </c>
      <c r="J33">
        <f>INDEX('Entity Map'!$C:$C,MATCH($A33,'Entity Map'!$A:$A,0))</f>
        <v/>
      </c>
      <c r="K33">
        <f>INDEX('Entity Map'!$D:$D,MATCH($A33,'Entity Map'!$A:$A,0))</f>
        <v/>
      </c>
      <c r="L33">
        <f>ROUND(E33*I33/10000,2)</f>
        <v/>
      </c>
      <c r="M33">
        <f>DAY(EOMONTH($C33,0))</f>
        <v/>
      </c>
      <c r="N33">
        <f>DATEDIF($C33,EOMONTH($C33,0),"d")+1</f>
        <v/>
      </c>
      <c r="O33">
        <f>ROUND(L33*N33/M33,2)</f>
        <v/>
      </c>
      <c r="P33">
        <f>MAX(O33,'Fee Schedule'!$H$3)</f>
        <v/>
      </c>
      <c r="Q33">
        <f>MIN(P33,'Fee Schedule'!$H$4)</f>
        <v/>
      </c>
      <c r="R33">
        <f>IFERROR(Q33*'Fee Schedule'!$H$5,0)</f>
        <v/>
      </c>
      <c r="S33">
        <f>ROUND(Q33-R33,2)</f>
        <v/>
      </c>
      <c r="T33">
        <f>LEFT($A33,3)&amp;"-"&amp;$D33</f>
        <v/>
      </c>
      <c r="U33">
        <f>COUNTIFS(Positions!$A:$A,$A33)</f>
        <v/>
      </c>
      <c r="V33">
        <f>SUM($S$19:S33)</f>
        <v/>
      </c>
      <c r="W33">
        <f>SUMPRODUCT(Positions!$F$4:$F$903,--(Positions!$A$4:$A$903=$A33))</f>
        <v/>
      </c>
      <c r="X33">
        <f>IF(S33&gt;40000,"A",IF(S33&gt;8000,"B","C"))</f>
        <v/>
      </c>
      <c r="Y33">
        <f>UPPER(TRIM(INDEX('Entity Map'!$E:$E,MATCH($A33,'Entity Map'!$A:$A,0))))</f>
        <v/>
      </c>
      <c r="Z33">
        <f>YEAR($C33)</f>
        <v/>
      </c>
      <c r="AA33">
        <f>IFERROR(VLOOKUP($A33,Overrides!$A:$C,3,FALSE),S33)</f>
        <v/>
      </c>
      <c r="AB33">
        <f>IF(AB33=S33,"","OVERRIDE")</f>
        <v/>
      </c>
      <c r="AC33">
        <f>SUMIFS(Positions!$F:$F,Positions!$E:$E,$Y33)</f>
        <v/>
      </c>
      <c r="AD33">
        <f>IFERROR(E33/AD33,0)</f>
        <v/>
      </c>
      <c r="AE33">
        <f>COUNTIF('Entity Map'!$A:$A,$A33)</f>
        <v/>
      </c>
      <c r="AF33">
        <f>MAX(Positions!$C:$C)</f>
        <v/>
      </c>
      <c r="AG33">
        <f>ROUND(E33*$B$14/10000,2)</f>
        <v/>
      </c>
      <c r="AH33">
        <f>AH33-S33</f>
        <v/>
      </c>
      <c r="AI33">
        <f>AI33*$B$15</f>
        <v/>
      </c>
      <c r="AJ33">
        <f>CONCATENATE($A33," / ",TEXT(AJ33,"0.00"))</f>
        <v/>
      </c>
    </row>
    <row r="34">
      <c r="A34" t="inlineStr">
        <is>
          <t>00016</t>
        </is>
      </c>
      <c r="B34">
        <f>INDEX('Entity Map'!$B:$B,MATCH($A34,'Entity Map'!$A:$A,0))</f>
        <v/>
      </c>
      <c r="C34">
        <f>DATE(2026,11,1)</f>
        <v/>
      </c>
      <c r="D34">
        <f>TEXT($C34,"yyyy-mm")</f>
        <v/>
      </c>
      <c r="E34">
        <f>AVERAGEIFS(Positions!$F:$F,Positions!$A:$A,$A34)</f>
        <v/>
      </c>
      <c r="F34">
        <f>E33</f>
        <v/>
      </c>
      <c r="G34">
        <f>IF($A34=$A33,F33,E34)</f>
        <v/>
      </c>
      <c r="H34">
        <f>VLOOKUP(E34,'Fee Schedule'!$C$5:$E$11,3,TRUE)</f>
        <v/>
      </c>
      <c r="I34">
        <f>VLOOKUP($A34,'Fee Schedule'!$A$5:$E$92,5,FALSE)</f>
        <v/>
      </c>
      <c r="J34">
        <f>INDEX('Entity Map'!$C:$C,MATCH($A34,'Entity Map'!$A:$A,0))</f>
        <v/>
      </c>
      <c r="K34">
        <f>INDEX('Entity Map'!$D:$D,MATCH($A34,'Entity Map'!$A:$A,0))</f>
        <v/>
      </c>
      <c r="L34">
        <f>ROUND(E34*I34/10000,2)</f>
        <v/>
      </c>
      <c r="M34">
        <f>DAY(EOMONTH($C34,0))</f>
        <v/>
      </c>
      <c r="N34">
        <f>DATEDIF($C34,EOMONTH($C34,0),"d")+1</f>
        <v/>
      </c>
      <c r="O34">
        <f>ROUND(L34*N34/M34,2)</f>
        <v/>
      </c>
      <c r="P34">
        <f>MAX(O34,'Fee Schedule'!$H$3)</f>
        <v/>
      </c>
      <c r="Q34">
        <f>MIN(P34,'Fee Schedule'!$H$4)</f>
        <v/>
      </c>
      <c r="R34">
        <f>IFERROR(Q34*'Fee Schedule'!$H$5,0)</f>
        <v/>
      </c>
      <c r="S34">
        <f>ROUND(Q34-R34,2)</f>
        <v/>
      </c>
      <c r="T34">
        <f>LEFT($A34,3)&amp;"-"&amp;$D34</f>
        <v/>
      </c>
      <c r="U34">
        <f>COUNTIFS(Positions!$A:$A,$A34)</f>
        <v/>
      </c>
      <c r="V34">
        <f>SUM($S$19:S34)</f>
        <v/>
      </c>
      <c r="W34">
        <f>SUMPRODUCT(Positions!$F$4:$F$903,--(Positions!$A$4:$A$903=$A34))</f>
        <v/>
      </c>
      <c r="X34">
        <f>IF(S34&gt;40000,"A",IF(S34&gt;8000,"B","C"))</f>
        <v/>
      </c>
      <c r="Y34">
        <f>UPPER(TRIM(INDEX('Entity Map'!$E:$E,MATCH($A34,'Entity Map'!$A:$A,0))))</f>
        <v/>
      </c>
      <c r="Z34">
        <f>YEAR($C34)</f>
        <v/>
      </c>
      <c r="AA34">
        <f>IFERROR(VLOOKUP($A34,Overrides!$A:$C,3,FALSE),S34)</f>
        <v/>
      </c>
      <c r="AB34">
        <f>IF(AB34=S34,"","OVERRIDE")</f>
        <v/>
      </c>
      <c r="AC34">
        <f>SUMIFS(Positions!$F:$F,Positions!$E:$E,$Y34)</f>
        <v/>
      </c>
      <c r="AD34">
        <f>IFERROR(E34/AD34,0)</f>
        <v/>
      </c>
      <c r="AE34">
        <f>COUNTIF('Entity Map'!$A:$A,$A34)</f>
        <v/>
      </c>
      <c r="AF34">
        <f>MAX(Positions!$C:$C)</f>
        <v/>
      </c>
      <c r="AG34">
        <f>ROUND(E34*$B$14/10000,2)</f>
        <v/>
      </c>
      <c r="AH34">
        <f>AH34-S34</f>
        <v/>
      </c>
      <c r="AI34">
        <f>AI34*$B$15</f>
        <v/>
      </c>
      <c r="AJ34">
        <f>CONCATENATE($A34," / ",TEXT(AJ34,"0.00"))</f>
        <v/>
      </c>
    </row>
    <row r="35">
      <c r="A35" t="inlineStr">
        <is>
          <t>00017</t>
        </is>
      </c>
      <c r="B35">
        <f>INDEX('Entity Map'!$B:$B,MATCH($A35,'Entity Map'!$A:$A,0))</f>
        <v/>
      </c>
      <c r="C35">
        <f>DATE(2026,11,1)</f>
        <v/>
      </c>
      <c r="D35">
        <f>TEXT($C35,"yyyy-mm")</f>
        <v/>
      </c>
      <c r="E35">
        <f>AVERAGEIFS(Positions!$F:$F,Positions!$A:$A,$A35)</f>
        <v/>
      </c>
      <c r="F35">
        <f>E34</f>
        <v/>
      </c>
      <c r="G35">
        <f>IF($A35=$A34,F34,E35)</f>
        <v/>
      </c>
      <c r="H35">
        <f>VLOOKUP(E35,'Fee Schedule'!$C$5:$E$11,3,TRUE)</f>
        <v/>
      </c>
      <c r="I35">
        <f>VLOOKUP($A35,'Fee Schedule'!$A$5:$E$92,5,FALSE)</f>
        <v/>
      </c>
      <c r="J35">
        <f>INDEX('Entity Map'!$C:$C,MATCH($A35,'Entity Map'!$A:$A,0))</f>
        <v/>
      </c>
      <c r="K35">
        <f>INDEX('Entity Map'!$D:$D,MATCH($A35,'Entity Map'!$A:$A,0))</f>
        <v/>
      </c>
      <c r="L35">
        <f>ROUND(E35*I35/10000,2)</f>
        <v/>
      </c>
      <c r="M35">
        <f>DAY(EOMONTH($C35,0))</f>
        <v/>
      </c>
      <c r="N35">
        <f>DATEDIF($C35,EOMONTH($C35,0),"d")+1</f>
        <v/>
      </c>
      <c r="O35">
        <f>ROUND(L35*N35/M35,2)</f>
        <v/>
      </c>
      <c r="P35">
        <f>MAX(O35,'Fee Schedule'!$H$3)</f>
        <v/>
      </c>
      <c r="Q35">
        <f>MIN(P35,'Fee Schedule'!$H$4)</f>
        <v/>
      </c>
      <c r="R35">
        <f>IFERROR(Q35*'Fee Schedule'!$H$5,0)</f>
        <v/>
      </c>
      <c r="S35">
        <f>ROUND(Q35-R35,2)</f>
        <v/>
      </c>
      <c r="T35">
        <f>LEFT($A35,3)&amp;"-"&amp;$D35</f>
        <v/>
      </c>
      <c r="U35">
        <f>COUNTIFS(Positions!$A:$A,$A35)</f>
        <v/>
      </c>
      <c r="V35">
        <f>SUM($S$19:S35)</f>
        <v/>
      </c>
      <c r="W35">
        <f>SUMPRODUCT(Positions!$F$4:$F$903,--(Positions!$A$4:$A$903=$A35))</f>
        <v/>
      </c>
      <c r="X35">
        <f>IF(S35&gt;40000,"A",IF(S35&gt;8000,"B","C"))</f>
        <v/>
      </c>
      <c r="Y35">
        <f>UPPER(TRIM(INDEX('Entity Map'!$E:$E,MATCH($A35,'Entity Map'!$A:$A,0))))</f>
        <v/>
      </c>
      <c r="Z35">
        <f>YEAR($C35)</f>
        <v/>
      </c>
      <c r="AA35">
        <f>IFERROR(VLOOKUP($A35,Overrides!$A:$C,3,FALSE),S35)</f>
        <v/>
      </c>
      <c r="AB35">
        <f>IF(AB35=S35,"","OVERRIDE")</f>
        <v/>
      </c>
      <c r="AC35">
        <f>SUMIFS(Positions!$F:$F,Positions!$E:$E,$Y35)</f>
        <v/>
      </c>
      <c r="AD35">
        <f>IFERROR(E35/AD35,0)</f>
        <v/>
      </c>
      <c r="AE35">
        <f>COUNTIF('Entity Map'!$A:$A,$A35)</f>
        <v/>
      </c>
      <c r="AF35">
        <f>MAX(Positions!$C:$C)</f>
        <v/>
      </c>
      <c r="AG35">
        <f>ROUND(E35*$B$14/10000,2)</f>
        <v/>
      </c>
      <c r="AH35">
        <f>AH35-S35</f>
        <v/>
      </c>
      <c r="AI35">
        <f>AI35*$B$15</f>
        <v/>
      </c>
      <c r="AJ35">
        <f>CONCATENATE($A35," / ",TEXT(AJ35,"0.00"))</f>
        <v/>
      </c>
    </row>
    <row r="36">
      <c r="A36" t="inlineStr">
        <is>
          <t>00018</t>
        </is>
      </c>
      <c r="B36">
        <f>INDEX('Entity Map'!$B:$B,MATCH($A36,'Entity Map'!$A:$A,0))</f>
        <v/>
      </c>
      <c r="C36">
        <f>DATE(2026,11,1)</f>
        <v/>
      </c>
      <c r="D36">
        <f>TEXT($C36,"yyyy-mm")</f>
        <v/>
      </c>
      <c r="E36">
        <f>AVERAGEIFS(Positions!$F:$F,Positions!$A:$A,$A36)</f>
        <v/>
      </c>
      <c r="F36">
        <f>E35</f>
        <v/>
      </c>
      <c r="G36">
        <f>IF($A36=$A35,F35,E36)</f>
        <v/>
      </c>
      <c r="H36">
        <f>VLOOKUP(E36,'Fee Schedule'!$C$5:$E$11,3,TRUE)</f>
        <v/>
      </c>
      <c r="I36">
        <f>VLOOKUP($A36,'Fee Schedule'!$A$5:$E$92,5,FALSE)</f>
        <v/>
      </c>
      <c r="J36">
        <f>INDEX('Entity Map'!$C:$C,MATCH($A36,'Entity Map'!$A:$A,0))</f>
        <v/>
      </c>
      <c r="K36">
        <f>INDEX('Entity Map'!$D:$D,MATCH($A36,'Entity Map'!$A:$A,0))</f>
        <v/>
      </c>
      <c r="L36">
        <f>ROUND(E36*I36/10000,2)</f>
        <v/>
      </c>
      <c r="M36">
        <f>DAY(EOMONTH($C36,0))</f>
        <v/>
      </c>
      <c r="N36">
        <f>DATEDIF($C36,EOMONTH($C36,0),"d")+1</f>
        <v/>
      </c>
      <c r="O36">
        <f>ROUND(L36*N36/M36,2)</f>
        <v/>
      </c>
      <c r="P36">
        <f>MAX(O36,'Fee Schedule'!$H$3)</f>
        <v/>
      </c>
      <c r="Q36">
        <f>MIN(P36,'Fee Schedule'!$H$4)</f>
        <v/>
      </c>
      <c r="R36">
        <f>IFERROR(Q36*'Fee Schedule'!$H$5,0)</f>
        <v/>
      </c>
      <c r="S36">
        <f>ROUND(Q36-R36,2)</f>
        <v/>
      </c>
      <c r="T36">
        <f>LEFT($A36,3)&amp;"-"&amp;$D36</f>
        <v/>
      </c>
      <c r="U36">
        <f>COUNTIFS(Positions!$A:$A,$A36)</f>
        <v/>
      </c>
      <c r="V36">
        <f>SUM($S$19:S36)</f>
        <v/>
      </c>
      <c r="W36">
        <f>SUMPRODUCT(Positions!$F$4:$F$903,--(Positions!$A$4:$A$903=$A36))</f>
        <v/>
      </c>
      <c r="X36">
        <f>IF(S36&gt;40000,"A",IF(S36&gt;8000,"B","C"))</f>
        <v/>
      </c>
      <c r="Y36">
        <f>UPPER(TRIM(INDEX('Entity Map'!$E:$E,MATCH($A36,'Entity Map'!$A:$A,0))))</f>
        <v/>
      </c>
      <c r="Z36">
        <f>YEAR($C36)</f>
        <v/>
      </c>
      <c r="AA36">
        <f>IFERROR(VLOOKUP($A36,Overrides!$A:$C,3,FALSE),S36)</f>
        <v/>
      </c>
      <c r="AB36">
        <f>IF(AB36=S36,"","OVERRIDE")</f>
        <v/>
      </c>
      <c r="AC36">
        <f>SUMIFS(Positions!$F:$F,Positions!$E:$E,$Y36)</f>
        <v/>
      </c>
      <c r="AD36">
        <f>IFERROR(E36/AD36,0)</f>
        <v/>
      </c>
      <c r="AE36">
        <f>COUNTIF('Entity Map'!$A:$A,$A36)</f>
        <v/>
      </c>
      <c r="AF36">
        <f>MAX(Positions!$C:$C)</f>
        <v/>
      </c>
      <c r="AG36">
        <f>ROUND(E36*$B$14/10000,2)</f>
        <v/>
      </c>
      <c r="AH36">
        <f>AH36-S36</f>
        <v/>
      </c>
      <c r="AI36">
        <f>AI36*$B$15</f>
        <v/>
      </c>
      <c r="AJ36">
        <f>CONCATENATE($A36," / ",TEXT(AJ36,"0.00"))</f>
        <v/>
      </c>
    </row>
    <row r="37">
      <c r="A37" t="inlineStr">
        <is>
          <t>00019</t>
        </is>
      </c>
      <c r="B37">
        <f>INDEX('Entity Map'!$B:$B,MATCH($A37,'Entity Map'!$A:$A,0))</f>
        <v/>
      </c>
      <c r="C37">
        <f>DATE(2026,11,1)</f>
        <v/>
      </c>
      <c r="D37">
        <f>TEXT($C37,"yyyy-mm")</f>
        <v/>
      </c>
      <c r="E37">
        <f>AVERAGEIFS(Positions!$F:$F,Positions!$A:$A,$A37)</f>
        <v/>
      </c>
      <c r="F37">
        <f>E36</f>
        <v/>
      </c>
      <c r="G37">
        <f>IF($A37=$A36,F36,E37)</f>
        <v/>
      </c>
      <c r="H37">
        <f>VLOOKUP(E37,'Fee Schedule'!$C$5:$E$11,3,TRUE)</f>
        <v/>
      </c>
      <c r="I37">
        <f>VLOOKUP($A37,'Fee Schedule'!$A$5:$E$92,5,FALSE)</f>
        <v/>
      </c>
      <c r="J37">
        <f>INDEX('Entity Map'!$C:$C,MATCH($A37,'Entity Map'!$A:$A,0))</f>
        <v/>
      </c>
      <c r="K37">
        <f>INDEX('Entity Map'!$D:$D,MATCH($A37,'Entity Map'!$A:$A,0))</f>
        <v/>
      </c>
      <c r="L37">
        <f>ROUND(E37*I37/10000,2)</f>
        <v/>
      </c>
      <c r="M37">
        <f>DAY(EOMONTH($C37,0))</f>
        <v/>
      </c>
      <c r="N37">
        <f>DATEDIF($C37,EOMONTH($C37,0),"d")+1</f>
        <v/>
      </c>
      <c r="O37">
        <f>ROUND(L37*N37/M37,2)</f>
        <v/>
      </c>
      <c r="P37">
        <f>MAX(O37,'Fee Schedule'!$H$3)</f>
        <v/>
      </c>
      <c r="Q37">
        <f>MIN(P37,'Fee Schedule'!$H$4)</f>
        <v/>
      </c>
      <c r="R37">
        <f>IFERROR(Q37*'Fee Schedule'!$H$5,0)</f>
        <v/>
      </c>
      <c r="S37">
        <f>ROUND(Q37-R37,2)</f>
        <v/>
      </c>
      <c r="T37">
        <f>LEFT($A37,3)&amp;"-"&amp;$D37</f>
        <v/>
      </c>
      <c r="U37">
        <f>COUNTIFS(Positions!$A:$A,$A37)</f>
        <v/>
      </c>
      <c r="V37">
        <f>SUM($S$19:S37)</f>
        <v/>
      </c>
      <c r="W37">
        <f>SUMPRODUCT(Positions!$F$4:$F$903,--(Positions!$A$4:$A$903=$A37))</f>
        <v/>
      </c>
      <c r="X37">
        <f>IF(S37&gt;40000,"A",IF(S37&gt;8000,"B","C"))</f>
        <v/>
      </c>
      <c r="Y37">
        <f>UPPER(TRIM(INDEX('Entity Map'!$E:$E,MATCH($A37,'Entity Map'!$A:$A,0))))</f>
        <v/>
      </c>
      <c r="Z37">
        <f>YEAR($C37)</f>
        <v/>
      </c>
      <c r="AA37">
        <f>IFERROR(VLOOKUP($A37,Overrides!$A:$C,3,FALSE),S37)</f>
        <v/>
      </c>
      <c r="AB37">
        <f>IF(AB37=S37,"","OVERRIDE")</f>
        <v/>
      </c>
      <c r="AC37">
        <f>SUMIFS(Positions!$F:$F,Positions!$E:$E,$Y37)</f>
        <v/>
      </c>
      <c r="AD37">
        <f>IFERROR(E37/AD37,0)</f>
        <v/>
      </c>
      <c r="AE37">
        <f>COUNTIF('Entity Map'!$A:$A,$A37)</f>
        <v/>
      </c>
      <c r="AF37">
        <f>MAX(Positions!$C:$C)</f>
        <v/>
      </c>
      <c r="AG37">
        <f>ROUND(E37*$B$14/10000,2)</f>
        <v/>
      </c>
      <c r="AH37">
        <f>AH37-S37</f>
        <v/>
      </c>
      <c r="AI37">
        <f>AI37*$B$15</f>
        <v/>
      </c>
      <c r="AJ37">
        <f>CONCATENATE($A37," / ",TEXT(AJ37,"0.00"))</f>
        <v/>
      </c>
    </row>
    <row r="38">
      <c r="A38" t="inlineStr">
        <is>
          <t>00020</t>
        </is>
      </c>
      <c r="B38">
        <f>INDEX('Entity Map'!$B:$B,MATCH($A38,'Entity Map'!$A:$A,0))</f>
        <v/>
      </c>
      <c r="C38">
        <f>DATE(2026,11,1)</f>
        <v/>
      </c>
      <c r="D38">
        <f>TEXT($C38,"yyyy-mm")</f>
        <v/>
      </c>
      <c r="E38">
        <f>AVERAGEIFS(Positions!$F:$F,Positions!$A:$A,$A38)</f>
        <v/>
      </c>
      <c r="F38">
        <f>E37</f>
        <v/>
      </c>
      <c r="G38">
        <f>IF($A38=$A37,F37,E38)</f>
        <v/>
      </c>
      <c r="H38">
        <f>VLOOKUP(E38,'Fee Schedule'!$C$5:$E$11,3,TRUE)</f>
        <v/>
      </c>
      <c r="I38">
        <f>VLOOKUP($A38,'Fee Schedule'!$A$5:$E$92,5,FALSE)</f>
        <v/>
      </c>
      <c r="J38">
        <f>INDEX('Entity Map'!$C:$C,MATCH($A38,'Entity Map'!$A:$A,0))</f>
        <v/>
      </c>
      <c r="K38">
        <f>INDEX('Entity Map'!$D:$D,MATCH($A38,'Entity Map'!$A:$A,0))</f>
        <v/>
      </c>
      <c r="L38">
        <f>ROUND(E38*I38/10000,2)</f>
        <v/>
      </c>
      <c r="M38">
        <f>DAY(EOMONTH($C38,0))</f>
        <v/>
      </c>
      <c r="N38">
        <f>DATEDIF($C38,EOMONTH($C38,0),"d")+1</f>
        <v/>
      </c>
      <c r="O38">
        <f>ROUND(L38*N38/M38,2)</f>
        <v/>
      </c>
      <c r="P38">
        <f>MAX(O38,'Fee Schedule'!$H$3)</f>
        <v/>
      </c>
      <c r="Q38">
        <f>MIN(P38,'Fee Schedule'!$H$4)</f>
        <v/>
      </c>
      <c r="R38">
        <f>IFERROR(Q38*'Fee Schedule'!$H$5,0)</f>
        <v/>
      </c>
      <c r="S38">
        <f>ROUND(Q38-R38,2)</f>
        <v/>
      </c>
      <c r="T38">
        <f>LEFT($A38,3)&amp;"-"&amp;$D38</f>
        <v/>
      </c>
      <c r="U38">
        <f>COUNTIFS(Positions!$A:$A,$A38)</f>
        <v/>
      </c>
      <c r="V38">
        <f>SUM($S$19:S38)</f>
        <v/>
      </c>
      <c r="W38">
        <f>SUMPRODUCT(Positions!$F$4:$F$903,--(Positions!$A$4:$A$903=$A38))</f>
        <v/>
      </c>
      <c r="X38">
        <f>IF(S38&gt;40000,"A",IF(S38&gt;8000,"B","C"))</f>
        <v/>
      </c>
      <c r="Y38">
        <f>UPPER(TRIM(INDEX('Entity Map'!$E:$E,MATCH($A38,'Entity Map'!$A:$A,0))))</f>
        <v/>
      </c>
      <c r="Z38">
        <f>YEAR($C38)</f>
        <v/>
      </c>
      <c r="AA38">
        <f>IFERROR(VLOOKUP($A38,Overrides!$A:$C,3,FALSE),S38)</f>
        <v/>
      </c>
      <c r="AB38">
        <f>IF(AB38=S38,"","OVERRIDE")</f>
        <v/>
      </c>
      <c r="AC38">
        <f>SUMIFS(Positions!$F:$F,Positions!$E:$E,$Y38)</f>
        <v/>
      </c>
      <c r="AD38">
        <f>IFERROR(E38/AD38,0)</f>
        <v/>
      </c>
      <c r="AE38">
        <f>COUNTIF('Entity Map'!$A:$A,$A38)</f>
        <v/>
      </c>
      <c r="AF38">
        <f>MAX(Positions!$C:$C)</f>
        <v/>
      </c>
      <c r="AG38">
        <f>ROUND(E38*$B$14/10000,2)</f>
        <v/>
      </c>
      <c r="AH38">
        <f>AH38-S38</f>
        <v/>
      </c>
      <c r="AI38">
        <f>AI38*$B$15</f>
        <v/>
      </c>
      <c r="AJ38">
        <f>CONCATENATE($A38," / ",TEXT(AJ38,"0.00"))</f>
        <v/>
      </c>
    </row>
    <row r="39">
      <c r="A39" t="inlineStr">
        <is>
          <t>00021</t>
        </is>
      </c>
      <c r="B39">
        <f>INDEX('Entity Map'!$B:$B,MATCH($A39,'Entity Map'!$A:$A,0))</f>
        <v/>
      </c>
      <c r="C39">
        <f>DATE(2026,11,1)</f>
        <v/>
      </c>
      <c r="D39">
        <f>TEXT($C39,"yyyy-mm")</f>
        <v/>
      </c>
      <c r="E39">
        <f>AVERAGEIFS(Positions!$F:$F,Positions!$A:$A,$A39)</f>
        <v/>
      </c>
      <c r="F39">
        <f>E38</f>
        <v/>
      </c>
      <c r="G39">
        <f>IF($A39=$A38,F38,E39)</f>
        <v/>
      </c>
      <c r="H39">
        <f>VLOOKUP(E39,'Fee Schedule'!$C$5:$E$11,3,TRUE)</f>
        <v/>
      </c>
      <c r="I39">
        <f>VLOOKUP($A39,'Fee Schedule'!$A$5:$E$92,5,FALSE)</f>
        <v/>
      </c>
      <c r="J39">
        <f>INDEX('Entity Map'!$C:$C,MATCH($A39,'Entity Map'!$A:$A,0))</f>
        <v/>
      </c>
      <c r="K39">
        <f>INDEX('Entity Map'!$D:$D,MATCH($A39,'Entity Map'!$A:$A,0))</f>
        <v/>
      </c>
      <c r="L39">
        <f>ROUND(E39*I39/10000,2)</f>
        <v/>
      </c>
      <c r="M39">
        <f>DAY(EOMONTH($C39,0))</f>
        <v/>
      </c>
      <c r="N39">
        <f>DATEDIF($C39,EOMONTH($C39,0),"d")+1</f>
        <v/>
      </c>
      <c r="O39">
        <f>ROUND(L39*N39/M39,2)</f>
        <v/>
      </c>
      <c r="P39">
        <f>MAX(O39,'Fee Schedule'!$H$3)</f>
        <v/>
      </c>
      <c r="Q39">
        <f>MIN(P39,'Fee Schedule'!$H$4)</f>
        <v/>
      </c>
      <c r="R39">
        <f>IFERROR(Q39*'Fee Schedule'!$H$5,0)</f>
        <v/>
      </c>
      <c r="S39">
        <f>ROUND(Q39-R39,2)</f>
        <v/>
      </c>
      <c r="T39">
        <f>LEFT($A39,3)&amp;"-"&amp;$D39</f>
        <v/>
      </c>
      <c r="U39">
        <f>COUNTIFS(Positions!$A:$A,$A39)</f>
        <v/>
      </c>
      <c r="V39">
        <f>SUM($S$19:S39)</f>
        <v/>
      </c>
      <c r="W39">
        <f>SUMPRODUCT(Positions!$F$4:$F$903,--(Positions!$A$4:$A$903=$A39))</f>
        <v/>
      </c>
      <c r="X39">
        <f>IF(S39&gt;40000,"A",IF(S39&gt;8000,"B","C"))</f>
        <v/>
      </c>
      <c r="Y39">
        <f>UPPER(TRIM(INDEX('Entity Map'!$E:$E,MATCH($A39,'Entity Map'!$A:$A,0))))</f>
        <v/>
      </c>
      <c r="Z39">
        <f>YEAR($C39)</f>
        <v/>
      </c>
      <c r="AA39">
        <f>IFERROR(VLOOKUP($A39,Overrides!$A:$C,3,FALSE),S39)</f>
        <v/>
      </c>
      <c r="AB39">
        <f>IF(AB39=S39,"","OVERRIDE")</f>
        <v/>
      </c>
      <c r="AC39">
        <f>SUMIFS(Positions!$F:$F,Positions!$E:$E,$Y39)</f>
        <v/>
      </c>
      <c r="AD39">
        <f>IFERROR(E39/AD39,0)</f>
        <v/>
      </c>
      <c r="AE39">
        <f>COUNTIF('Entity Map'!$A:$A,$A39)</f>
        <v/>
      </c>
      <c r="AF39">
        <f>MAX(Positions!$C:$C)</f>
        <v/>
      </c>
      <c r="AG39">
        <f>ROUND(E39*$B$14/10000,2)</f>
        <v/>
      </c>
      <c r="AH39">
        <f>AH39-S39</f>
        <v/>
      </c>
      <c r="AI39">
        <f>AI39*$B$15</f>
        <v/>
      </c>
      <c r="AJ39">
        <f>CONCATENATE($A39," / ",TEXT(AJ39,"0.00"))</f>
        <v/>
      </c>
    </row>
    <row r="40">
      <c r="A40" t="inlineStr">
        <is>
          <t>00022</t>
        </is>
      </c>
      <c r="B40">
        <f>INDEX('Entity Map'!$B:$B,MATCH($A40,'Entity Map'!$A:$A,0))</f>
        <v/>
      </c>
      <c r="C40">
        <f>DATE(2026,11,1)</f>
        <v/>
      </c>
      <c r="D40">
        <f>TEXT($C40,"yyyy-mm")</f>
        <v/>
      </c>
      <c r="E40">
        <f>AVERAGEIFS(Positions!$F:$F,Positions!$A:$A,$A40)</f>
        <v/>
      </c>
      <c r="F40">
        <f>E39</f>
        <v/>
      </c>
      <c r="G40">
        <f>IF($A40=$A39,F39,E40)</f>
        <v/>
      </c>
      <c r="H40">
        <f>VLOOKUP(E40,'Fee Schedule'!$C$5:$E$11,3,TRUE)</f>
        <v/>
      </c>
      <c r="I40">
        <f>VLOOKUP($A40,'Fee Schedule'!$A$5:$E$92,5,FALSE)</f>
        <v/>
      </c>
      <c r="J40">
        <f>INDEX('Entity Map'!$C:$C,MATCH($A40,'Entity Map'!$A:$A,0))</f>
        <v/>
      </c>
      <c r="K40">
        <f>INDEX('Entity Map'!$D:$D,MATCH($A40,'Entity Map'!$A:$A,0))</f>
        <v/>
      </c>
      <c r="L40">
        <f>ROUND(E40*I40/10000,2)</f>
        <v/>
      </c>
      <c r="M40">
        <f>DAY(EOMONTH($C40,0))</f>
        <v/>
      </c>
      <c r="N40">
        <f>DATEDIF($C40,EOMONTH($C40,0),"d")+1</f>
        <v/>
      </c>
      <c r="O40">
        <f>ROUND(L40*N40/M40,2)</f>
        <v/>
      </c>
      <c r="P40">
        <f>MAX(O40,'Fee Schedule'!$H$3)</f>
        <v/>
      </c>
      <c r="Q40">
        <f>MIN(P40,'Fee Schedule'!$H$4)</f>
        <v/>
      </c>
      <c r="R40">
        <f>IFERROR(Q40*'Fee Schedule'!$H$5,0)</f>
        <v/>
      </c>
      <c r="S40">
        <f>ROUND(Q40-R40,2)</f>
        <v/>
      </c>
      <c r="T40">
        <f>LEFT($A40,3)&amp;"-"&amp;$D40</f>
        <v/>
      </c>
      <c r="U40">
        <f>COUNTIFS(Positions!$A:$A,$A40)</f>
        <v/>
      </c>
      <c r="V40">
        <f>SUM($S$19:S40)</f>
        <v/>
      </c>
      <c r="W40">
        <f>SUMPRODUCT(Positions!$F$4:$F$903,--(Positions!$A$4:$A$903=$A40))</f>
        <v/>
      </c>
      <c r="X40">
        <f>IF(S40&gt;40000,"A",IF(S40&gt;8000,"B","C"))</f>
        <v/>
      </c>
      <c r="Y40">
        <f>UPPER(TRIM(INDEX('Entity Map'!$E:$E,MATCH($A40,'Entity Map'!$A:$A,0))))</f>
        <v/>
      </c>
      <c r="Z40">
        <f>YEAR($C40)</f>
        <v/>
      </c>
      <c r="AA40">
        <f>IFERROR(VLOOKUP($A40,Overrides!$A:$C,3,FALSE),S40)</f>
        <v/>
      </c>
      <c r="AB40">
        <f>IF(AB40=S40,"","OVERRIDE")</f>
        <v/>
      </c>
      <c r="AC40">
        <f>SUMIFS(Positions!$F:$F,Positions!$E:$E,$Y40)</f>
        <v/>
      </c>
      <c r="AD40">
        <f>IFERROR(E40/AD40,0)</f>
        <v/>
      </c>
      <c r="AE40">
        <f>COUNTIF('Entity Map'!$A:$A,$A40)</f>
        <v/>
      </c>
      <c r="AF40">
        <f>MAX(Positions!$C:$C)</f>
        <v/>
      </c>
      <c r="AG40">
        <f>ROUND(E40*$B$14/10000,2)</f>
        <v/>
      </c>
      <c r="AH40">
        <f>AH40-S40</f>
        <v/>
      </c>
      <c r="AI40">
        <f>AI40*$B$15</f>
        <v/>
      </c>
      <c r="AJ40">
        <f>CONCATENATE($A40," / ",TEXT(AJ40,"0.00"))</f>
        <v/>
      </c>
    </row>
    <row r="41">
      <c r="A41" t="inlineStr">
        <is>
          <t>00023</t>
        </is>
      </c>
      <c r="B41">
        <f>INDEX('Entity Map'!$B:$B,MATCH($A41,'Entity Map'!$A:$A,0))</f>
        <v/>
      </c>
      <c r="C41">
        <f>DATE(2026,11,1)</f>
        <v/>
      </c>
      <c r="D41">
        <f>TEXT($C41,"yyyy-mm")</f>
        <v/>
      </c>
      <c r="E41">
        <f>AVERAGEIFS(Positions!$F:$F,Positions!$A:$A,$A41)</f>
        <v/>
      </c>
      <c r="F41">
        <f>E40</f>
        <v/>
      </c>
      <c r="G41">
        <f>IF($A41=$A40,F40,E41)</f>
        <v/>
      </c>
      <c r="H41">
        <f>VLOOKUP(E41,'Fee Schedule'!$C$5:$E$11,3,TRUE)</f>
        <v/>
      </c>
      <c r="I41">
        <f>VLOOKUP($A41,'Fee Schedule'!$A$5:$E$92,5,FALSE)</f>
        <v/>
      </c>
      <c r="J41">
        <f>INDEX('Entity Map'!$C:$C,MATCH($A41,'Entity Map'!$A:$A,0))</f>
        <v/>
      </c>
      <c r="K41">
        <f>INDEX('Entity Map'!$D:$D,MATCH($A41,'Entity Map'!$A:$A,0))</f>
        <v/>
      </c>
      <c r="L41">
        <f>ROUND(E41*I41/10000,2)</f>
        <v/>
      </c>
      <c r="M41">
        <f>DAY(EOMONTH($C41,0))</f>
        <v/>
      </c>
      <c r="N41">
        <f>DATEDIF($C41,EOMONTH($C41,0),"d")+1</f>
        <v/>
      </c>
      <c r="O41">
        <f>ROUND(L41*N41/M41,2)</f>
        <v/>
      </c>
      <c r="P41">
        <f>MAX(O41,'Fee Schedule'!$H$3)</f>
        <v/>
      </c>
      <c r="Q41">
        <f>MIN(P41,'Fee Schedule'!$H$4)</f>
        <v/>
      </c>
      <c r="R41">
        <f>IFERROR(Q41*'Fee Schedule'!$H$5,0)</f>
        <v/>
      </c>
      <c r="S41">
        <f>ROUND(Q41-R41,2)</f>
        <v/>
      </c>
      <c r="T41">
        <f>LEFT($A41,3)&amp;"-"&amp;$D41</f>
        <v/>
      </c>
      <c r="U41">
        <f>COUNTIFS(Positions!$A:$A,$A41)</f>
        <v/>
      </c>
      <c r="V41">
        <f>SUM($S$19:S41)</f>
        <v/>
      </c>
      <c r="W41">
        <f>SUMPRODUCT(Positions!$F$4:$F$903,--(Positions!$A$4:$A$903=$A41))</f>
        <v/>
      </c>
      <c r="X41">
        <f>IF(S41&gt;40000,"A",IF(S41&gt;8000,"B","C"))</f>
        <v/>
      </c>
      <c r="Y41">
        <f>UPPER(TRIM(INDEX('Entity Map'!$E:$E,MATCH($A41,'Entity Map'!$A:$A,0))))</f>
        <v/>
      </c>
      <c r="Z41">
        <f>YEAR($C41)</f>
        <v/>
      </c>
      <c r="AA41">
        <f>IFERROR(VLOOKUP($A41,Overrides!$A:$C,3,FALSE),S41)</f>
        <v/>
      </c>
      <c r="AB41">
        <f>IF(AB41=S41,"","OVERRIDE")</f>
        <v/>
      </c>
      <c r="AC41">
        <f>SUMIFS(Positions!$F:$F,Positions!$E:$E,$Y41)</f>
        <v/>
      </c>
      <c r="AD41">
        <f>IFERROR(E41/AD41,0)</f>
        <v/>
      </c>
      <c r="AE41">
        <f>COUNTIF('Entity Map'!$A:$A,$A41)</f>
        <v/>
      </c>
      <c r="AF41">
        <f>MAX(Positions!$C:$C)</f>
        <v/>
      </c>
      <c r="AG41">
        <f>ROUND(E41*$B$14/10000,2)</f>
        <v/>
      </c>
      <c r="AH41">
        <f>AH41-S41</f>
        <v/>
      </c>
      <c r="AI41">
        <f>AI41*$B$15</f>
        <v/>
      </c>
      <c r="AJ41">
        <f>CONCATENATE($A41," / ",TEXT(AJ41,"0.00"))</f>
        <v/>
      </c>
    </row>
    <row r="42">
      <c r="A42" t="inlineStr">
        <is>
          <t>00024</t>
        </is>
      </c>
      <c r="B42">
        <f>INDEX('Entity Map'!$B:$B,MATCH($A42,'Entity Map'!$A:$A,0))</f>
        <v/>
      </c>
      <c r="C42">
        <f>DATE(2026,11,1)</f>
        <v/>
      </c>
      <c r="D42">
        <f>TEXT($C42,"yyyy-mm")</f>
        <v/>
      </c>
      <c r="E42">
        <f>AVERAGEIFS(Positions!$F:$F,Positions!$A:$A,$A42)</f>
        <v/>
      </c>
      <c r="F42">
        <f>E41</f>
        <v/>
      </c>
      <c r="G42">
        <f>IF($A42=$A41,F41,E42)</f>
        <v/>
      </c>
      <c r="H42">
        <f>VLOOKUP(E42,'Fee Schedule'!$C$5:$E$11,3,TRUE)</f>
        <v/>
      </c>
      <c r="I42">
        <f>VLOOKUP($A42,'Fee Schedule'!$A$5:$E$92,5,FALSE)</f>
        <v/>
      </c>
      <c r="J42">
        <f>INDEX('Entity Map'!$C:$C,MATCH($A42,'Entity Map'!$A:$A,0))</f>
        <v/>
      </c>
      <c r="K42">
        <f>INDEX('Entity Map'!$D:$D,MATCH($A42,'Entity Map'!$A:$A,0))</f>
        <v/>
      </c>
      <c r="L42">
        <f>ROUND(E42*I42/10000,2)</f>
        <v/>
      </c>
      <c r="M42">
        <f>DAY(EOMONTH($C42,0))</f>
        <v/>
      </c>
      <c r="N42">
        <f>DATEDIF($C42,EOMONTH($C42,0),"d")+1</f>
        <v/>
      </c>
      <c r="O42">
        <f>ROUND(L42*N42/M42,2)</f>
        <v/>
      </c>
      <c r="P42">
        <f>MAX(O42,'Fee Schedule'!$H$3)</f>
        <v/>
      </c>
      <c r="Q42">
        <f>MIN(P42,'Fee Schedule'!$H$4)</f>
        <v/>
      </c>
      <c r="R42">
        <f>IFERROR(Q42*'Fee Schedule'!$H$5,0)</f>
        <v/>
      </c>
      <c r="S42">
        <f>ROUND(Q42-R42,2)</f>
        <v/>
      </c>
      <c r="T42">
        <f>LEFT($A42,3)&amp;"-"&amp;$D42</f>
        <v/>
      </c>
      <c r="U42">
        <f>COUNTIFS(Positions!$A:$A,$A42)</f>
        <v/>
      </c>
      <c r="V42">
        <f>SUM($S$19:S42)</f>
        <v/>
      </c>
      <c r="W42">
        <f>SUMPRODUCT(Positions!$F$4:$F$903,--(Positions!$A$4:$A$903=$A42))</f>
        <v/>
      </c>
      <c r="X42">
        <f>IF(S42&gt;40000,"A",IF(S42&gt;8000,"B","C"))</f>
        <v/>
      </c>
      <c r="Y42">
        <f>UPPER(TRIM(INDEX('Entity Map'!$E:$E,MATCH($A42,'Entity Map'!$A:$A,0))))</f>
        <v/>
      </c>
      <c r="Z42">
        <f>YEAR($C42)</f>
        <v/>
      </c>
      <c r="AA42">
        <f>IFERROR(VLOOKUP($A42,Overrides!$A:$C,3,FALSE),S42)</f>
        <v/>
      </c>
      <c r="AB42">
        <f>IF(AB42=S42,"","OVERRIDE")</f>
        <v/>
      </c>
      <c r="AC42">
        <f>SUMIFS(Positions!$F:$F,Positions!$E:$E,$Y42)</f>
        <v/>
      </c>
      <c r="AD42">
        <f>IFERROR(E42/AD42,0)</f>
        <v/>
      </c>
      <c r="AE42">
        <f>COUNTIF('Entity Map'!$A:$A,$A42)</f>
        <v/>
      </c>
      <c r="AF42">
        <f>MAX(Positions!$C:$C)</f>
        <v/>
      </c>
      <c r="AG42">
        <f>ROUND(E42*$B$14/10000,2)</f>
        <v/>
      </c>
      <c r="AH42">
        <f>AH42-S42</f>
        <v/>
      </c>
      <c r="AI42">
        <f>AI42*$B$15</f>
        <v/>
      </c>
      <c r="AJ42">
        <f>CONCATENATE($A42," / ",TEXT(AJ42,"0.00"))</f>
        <v/>
      </c>
    </row>
    <row r="43">
      <c r="A43" t="inlineStr">
        <is>
          <t>00025</t>
        </is>
      </c>
      <c r="B43">
        <f>INDEX('Entity Map'!$B:$B,MATCH($A43,'Entity Map'!$A:$A,0))</f>
        <v/>
      </c>
      <c r="C43">
        <f>DATE(2026,11,1)</f>
        <v/>
      </c>
      <c r="D43">
        <f>TEXT($C43,"yyyy-mm")</f>
        <v/>
      </c>
      <c r="E43">
        <f>AVERAGEIFS(Positions!$F:$F,Positions!$A:$A,$A43)</f>
        <v/>
      </c>
      <c r="F43">
        <f>E42</f>
        <v/>
      </c>
      <c r="G43">
        <f>IF($A43=$A42,F42,E43)</f>
        <v/>
      </c>
      <c r="H43">
        <f>VLOOKUP(E43,'Fee Schedule'!$C$5:$E$11,3,TRUE)</f>
        <v/>
      </c>
      <c r="I43">
        <f>VLOOKUP($A43,'Fee Schedule'!$A$5:$E$92,5,FALSE)</f>
        <v/>
      </c>
      <c r="J43">
        <f>INDEX('Entity Map'!$C:$C,MATCH($A43,'Entity Map'!$A:$A,0))</f>
        <v/>
      </c>
      <c r="K43">
        <f>INDEX('Entity Map'!$D:$D,MATCH($A43,'Entity Map'!$A:$A,0))</f>
        <v/>
      </c>
      <c r="L43">
        <f>ROUND(E43*I43/10000,2)</f>
        <v/>
      </c>
      <c r="M43">
        <f>DAY(EOMONTH($C43,0))</f>
        <v/>
      </c>
      <c r="N43">
        <f>DATEDIF($C43,EOMONTH($C43,0),"d")+1</f>
        <v/>
      </c>
      <c r="O43">
        <f>ROUND(L43*N43/M43,2)</f>
        <v/>
      </c>
      <c r="P43">
        <f>MAX(O43,'Fee Schedule'!$H$3)</f>
        <v/>
      </c>
      <c r="Q43">
        <f>MIN(P43,'Fee Schedule'!$H$4)</f>
        <v/>
      </c>
      <c r="R43">
        <f>IFERROR(Q43*'Fee Schedule'!$H$5,0)</f>
        <v/>
      </c>
      <c r="S43">
        <f>ROUND(Q43-R43,2)</f>
        <v/>
      </c>
      <c r="T43">
        <f>LEFT($A43,3)&amp;"-"&amp;$D43</f>
        <v/>
      </c>
      <c r="U43">
        <f>COUNTIFS(Positions!$A:$A,$A43)</f>
        <v/>
      </c>
      <c r="V43">
        <f>SUM($S$19:S43)</f>
        <v/>
      </c>
      <c r="W43">
        <f>SUMPRODUCT(Positions!$F$4:$F$903,--(Positions!$A$4:$A$903=$A43))</f>
        <v/>
      </c>
      <c r="X43">
        <f>IF(S43&gt;40000,"A",IF(S43&gt;8000,"B","C"))</f>
        <v/>
      </c>
      <c r="Y43">
        <f>UPPER(TRIM(INDEX('Entity Map'!$E:$E,MATCH($A43,'Entity Map'!$A:$A,0))))</f>
        <v/>
      </c>
      <c r="Z43">
        <f>YEAR($C43)</f>
        <v/>
      </c>
      <c r="AA43">
        <f>IFERROR(VLOOKUP($A43,Overrides!$A:$C,3,FALSE),S43)</f>
        <v/>
      </c>
      <c r="AB43">
        <f>IF(AB43=S43,"","OVERRIDE")</f>
        <v/>
      </c>
      <c r="AC43">
        <f>SUMIFS(Positions!$F:$F,Positions!$E:$E,$Y43)</f>
        <v/>
      </c>
      <c r="AD43">
        <f>IFERROR(E43/AD43,0)</f>
        <v/>
      </c>
      <c r="AE43">
        <f>COUNTIF('Entity Map'!$A:$A,$A43)</f>
        <v/>
      </c>
      <c r="AF43">
        <f>MAX(Positions!$C:$C)</f>
        <v/>
      </c>
      <c r="AG43">
        <f>ROUND(E43*$B$14/10000,2)</f>
        <v/>
      </c>
      <c r="AH43">
        <f>AH43-S43</f>
        <v/>
      </c>
      <c r="AI43">
        <f>AI43*$B$15</f>
        <v/>
      </c>
      <c r="AJ43">
        <f>CONCATENATE($A43," / ",TEXT(AJ43,"0.00"))</f>
        <v/>
      </c>
    </row>
    <row r="44">
      <c r="A44" t="inlineStr">
        <is>
          <t>00026</t>
        </is>
      </c>
      <c r="B44">
        <f>INDEX('Entity Map'!$B:$B,MATCH($A44,'Entity Map'!$A:$A,0))</f>
        <v/>
      </c>
      <c r="C44">
        <f>DATE(2026,11,1)</f>
        <v/>
      </c>
      <c r="D44">
        <f>TEXT($C44,"yyyy-mm")</f>
        <v/>
      </c>
      <c r="E44">
        <f>AVERAGEIFS(Positions!$F:$F,Positions!$A:$A,$A44)</f>
        <v/>
      </c>
      <c r="F44">
        <f>E43</f>
        <v/>
      </c>
      <c r="G44">
        <f>IF($A44=$A43,F43,E44)</f>
        <v/>
      </c>
      <c r="H44">
        <f>VLOOKUP(E44,'Fee Schedule'!$C$5:$E$11,3,TRUE)</f>
        <v/>
      </c>
      <c r="I44">
        <f>VLOOKUP($A44,'Fee Schedule'!$A$5:$E$92,5,FALSE)</f>
        <v/>
      </c>
      <c r="J44">
        <f>INDEX('Entity Map'!$C:$C,MATCH($A44,'Entity Map'!$A:$A,0))</f>
        <v/>
      </c>
      <c r="K44">
        <f>INDEX('Entity Map'!$D:$D,MATCH($A44,'Entity Map'!$A:$A,0))</f>
        <v/>
      </c>
      <c r="L44">
        <f>ROUND(E44*I44/10000,2)</f>
        <v/>
      </c>
      <c r="M44">
        <f>DAY(EOMONTH($C44,0))</f>
        <v/>
      </c>
      <c r="N44">
        <f>DATEDIF($C44,EOMONTH($C44,0),"d")+1</f>
        <v/>
      </c>
      <c r="O44">
        <f>ROUND(L44*N44/M44,2)</f>
        <v/>
      </c>
      <c r="P44">
        <f>MAX(O44,'Fee Schedule'!$H$3)</f>
        <v/>
      </c>
      <c r="Q44">
        <f>MIN(P44,'Fee Schedule'!$H$4)</f>
        <v/>
      </c>
      <c r="R44">
        <f>IFERROR(Q44*'Fee Schedule'!$H$5,0)</f>
        <v/>
      </c>
      <c r="S44">
        <f>ROUND(Q44-R44,2)</f>
        <v/>
      </c>
      <c r="T44">
        <f>LEFT($A44,3)&amp;"-"&amp;$D44</f>
        <v/>
      </c>
      <c r="U44">
        <f>COUNTIFS(Positions!$A:$A,$A44)</f>
        <v/>
      </c>
      <c r="V44">
        <f>SUM($S$19:S44)</f>
        <v/>
      </c>
      <c r="W44">
        <f>SUMPRODUCT(Positions!$F$4:$F$903,--(Positions!$A$4:$A$903=$A44))</f>
        <v/>
      </c>
      <c r="X44">
        <f>IF(S44&gt;40000,"A",IF(S44&gt;8000,"B","C"))</f>
        <v/>
      </c>
      <c r="Y44">
        <f>UPPER(TRIM(INDEX('Entity Map'!$E:$E,MATCH($A44,'Entity Map'!$A:$A,0))))</f>
        <v/>
      </c>
      <c r="Z44">
        <f>YEAR($C44)</f>
        <v/>
      </c>
      <c r="AA44">
        <f>IFERROR(VLOOKUP($A44,Overrides!$A:$C,3,FALSE),S44)</f>
        <v/>
      </c>
      <c r="AB44">
        <f>IF(AB44=S44,"","OVERRIDE")</f>
        <v/>
      </c>
      <c r="AC44">
        <f>SUMIFS(Positions!$F:$F,Positions!$E:$E,$Y44)</f>
        <v/>
      </c>
      <c r="AD44">
        <f>IFERROR(E44/AD44,0)</f>
        <v/>
      </c>
      <c r="AE44">
        <f>COUNTIF('Entity Map'!$A:$A,$A44)</f>
        <v/>
      </c>
      <c r="AF44">
        <f>MAX(Positions!$C:$C)</f>
        <v/>
      </c>
      <c r="AG44">
        <f>ROUND(E44*$B$14/10000,2)</f>
        <v/>
      </c>
      <c r="AH44">
        <f>AH44-S44</f>
        <v/>
      </c>
      <c r="AI44">
        <f>AI44*$B$15</f>
        <v/>
      </c>
      <c r="AJ44">
        <f>CONCATENATE($A44," / ",TEXT(AJ44,"0.00"))</f>
        <v/>
      </c>
    </row>
    <row r="45">
      <c r="A45" t="inlineStr">
        <is>
          <t>00027</t>
        </is>
      </c>
      <c r="B45">
        <f>INDEX('Entity Map'!$B:$B,MATCH($A45,'Entity Map'!$A:$A,0))</f>
        <v/>
      </c>
      <c r="C45">
        <f>DATE(2026,11,1)</f>
        <v/>
      </c>
      <c r="D45">
        <f>TEXT($C45,"yyyy-mm")</f>
        <v/>
      </c>
      <c r="E45">
        <f>AVERAGEIFS(Positions!$F:$F,Positions!$A:$A,$A45)</f>
        <v/>
      </c>
      <c r="F45">
        <f>E44</f>
        <v/>
      </c>
      <c r="G45">
        <f>IF($A45=$A44,F44,E45)</f>
        <v/>
      </c>
      <c r="H45">
        <f>VLOOKUP(E45,'Fee Schedule'!$C$5:$E$11,3,TRUE)</f>
        <v/>
      </c>
      <c r="I45">
        <f>VLOOKUP($A45,'Fee Schedule'!$A$5:$E$92,5,FALSE)</f>
        <v/>
      </c>
      <c r="J45">
        <f>INDEX('Entity Map'!$C:$C,MATCH($A45,'Entity Map'!$A:$A,0))</f>
        <v/>
      </c>
      <c r="K45">
        <f>INDEX('Entity Map'!$D:$D,MATCH($A45,'Entity Map'!$A:$A,0))</f>
        <v/>
      </c>
      <c r="L45">
        <f>ROUND(E45*I45/10000,2)</f>
        <v/>
      </c>
      <c r="M45">
        <f>DAY(EOMONTH($C45,0))</f>
        <v/>
      </c>
      <c r="N45">
        <f>DATEDIF($C45,EOMONTH($C45,0),"d")+1</f>
        <v/>
      </c>
      <c r="O45">
        <f>ROUND(L45*N45/M45,2)</f>
        <v/>
      </c>
      <c r="P45">
        <f>MAX(O45,'Fee Schedule'!$H$3)</f>
        <v/>
      </c>
      <c r="Q45">
        <f>MIN(P45,'Fee Schedule'!$H$4)</f>
        <v/>
      </c>
      <c r="R45">
        <f>IFERROR(Q45*'Fee Schedule'!$H$5,0)</f>
        <v/>
      </c>
      <c r="S45">
        <f>ROUND(Q45-R45,2)</f>
        <v/>
      </c>
      <c r="T45">
        <f>LEFT($A45,3)&amp;"-"&amp;$D45</f>
        <v/>
      </c>
      <c r="U45">
        <f>COUNTIFS(Positions!$A:$A,$A45)</f>
        <v/>
      </c>
      <c r="V45">
        <f>SUM($S$19:S45)</f>
        <v/>
      </c>
      <c r="W45">
        <f>SUMPRODUCT(Positions!$F$4:$F$903,--(Positions!$A$4:$A$903=$A45))</f>
        <v/>
      </c>
      <c r="X45">
        <f>IF(S45&gt;40000,"A",IF(S45&gt;8000,"B","C"))</f>
        <v/>
      </c>
      <c r="Y45">
        <f>UPPER(TRIM(INDEX('Entity Map'!$E:$E,MATCH($A45,'Entity Map'!$A:$A,0))))</f>
        <v/>
      </c>
      <c r="Z45">
        <f>YEAR($C45)</f>
        <v/>
      </c>
      <c r="AA45">
        <f>IFERROR(VLOOKUP($A45,Overrides!$A:$C,3,FALSE),S45)</f>
        <v/>
      </c>
      <c r="AB45">
        <f>IF(AB45=S45,"","OVERRIDE")</f>
        <v/>
      </c>
      <c r="AC45">
        <f>SUMIFS(Positions!$F:$F,Positions!$E:$E,$Y45)</f>
        <v/>
      </c>
      <c r="AD45">
        <f>IFERROR(E45/AD45,0)</f>
        <v/>
      </c>
      <c r="AE45">
        <f>COUNTIF('Entity Map'!$A:$A,$A45)</f>
        <v/>
      </c>
      <c r="AF45">
        <f>MAX(Positions!$C:$C)</f>
        <v/>
      </c>
      <c r="AG45">
        <f>ROUND(E45*$B$14/10000,2)</f>
        <v/>
      </c>
      <c r="AH45">
        <f>AH45-S45</f>
        <v/>
      </c>
      <c r="AI45">
        <f>AI45*$B$15</f>
        <v/>
      </c>
      <c r="AJ45">
        <f>CONCATENATE($A45," / ",TEXT(AJ45,"0.00"))</f>
        <v/>
      </c>
    </row>
    <row r="46">
      <c r="A46" t="inlineStr">
        <is>
          <t>00028</t>
        </is>
      </c>
      <c r="B46">
        <f>INDEX('Entity Map'!$B:$B,MATCH($A46,'Entity Map'!$A:$A,0))</f>
        <v/>
      </c>
      <c r="C46">
        <f>DATE(2026,11,1)</f>
        <v/>
      </c>
      <c r="D46">
        <f>TEXT($C46,"yyyy-mm")</f>
        <v/>
      </c>
      <c r="E46">
        <f>AVERAGEIFS(Positions!$F:$F,Positions!$A:$A,$A46)</f>
        <v/>
      </c>
      <c r="F46">
        <f>E45</f>
        <v/>
      </c>
      <c r="G46">
        <f>IF($A46=$A45,F45,E46)</f>
        <v/>
      </c>
      <c r="H46">
        <f>VLOOKUP(E46,'Fee Schedule'!$C$5:$E$11,3,TRUE)</f>
        <v/>
      </c>
      <c r="I46">
        <f>VLOOKUP($A46,'Fee Schedule'!$A$5:$E$92,5,FALSE)</f>
        <v/>
      </c>
      <c r="J46">
        <f>INDEX('Entity Map'!$C:$C,MATCH($A46,'Entity Map'!$A:$A,0))</f>
        <v/>
      </c>
      <c r="K46">
        <f>INDEX('Entity Map'!$D:$D,MATCH($A46,'Entity Map'!$A:$A,0))</f>
        <v/>
      </c>
      <c r="L46">
        <f>ROUND(E46*I46/10000,2)</f>
        <v/>
      </c>
      <c r="M46">
        <f>DAY(EOMONTH($C46,0))</f>
        <v/>
      </c>
      <c r="N46">
        <f>DATEDIF($C46,EOMONTH($C46,0),"d")+1</f>
        <v/>
      </c>
      <c r="O46">
        <f>ROUND(L46*N46/M46,2)</f>
        <v/>
      </c>
      <c r="P46">
        <f>MAX(O46,'Fee Schedule'!$H$3)</f>
        <v/>
      </c>
      <c r="Q46">
        <f>MIN(P46,'Fee Schedule'!$H$4)</f>
        <v/>
      </c>
      <c r="R46">
        <f>IFERROR(Q46*'Fee Schedule'!$H$5,0)</f>
        <v/>
      </c>
      <c r="S46">
        <f>ROUND(Q46-R46,2)</f>
        <v/>
      </c>
      <c r="T46">
        <f>LEFT($A46,3)&amp;"-"&amp;$D46</f>
        <v/>
      </c>
      <c r="U46">
        <f>COUNTIFS(Positions!$A:$A,$A46)</f>
        <v/>
      </c>
      <c r="V46">
        <f>SUM($S$19:S46)</f>
        <v/>
      </c>
      <c r="W46">
        <f>SUMPRODUCT(Positions!$F$4:$F$903,--(Positions!$A$4:$A$903=$A46))</f>
        <v/>
      </c>
      <c r="X46">
        <f>IF(S46&gt;40000,"A",IF(S46&gt;8000,"B","C"))</f>
        <v/>
      </c>
      <c r="Y46">
        <f>UPPER(TRIM(INDEX('Entity Map'!$E:$E,MATCH($A46,'Entity Map'!$A:$A,0))))</f>
        <v/>
      </c>
      <c r="Z46">
        <f>YEAR($C46)</f>
        <v/>
      </c>
      <c r="AA46">
        <f>IFERROR(VLOOKUP($A46,Overrides!$A:$C,3,FALSE),S46)</f>
        <v/>
      </c>
      <c r="AB46">
        <f>IF(AB46=S46,"","OVERRIDE")</f>
        <v/>
      </c>
      <c r="AC46">
        <f>SUMIFS(Positions!$F:$F,Positions!$E:$E,$Y46)</f>
        <v/>
      </c>
      <c r="AD46">
        <f>IFERROR(E46/AD46,0)</f>
        <v/>
      </c>
      <c r="AE46">
        <f>COUNTIF('Entity Map'!$A:$A,$A46)</f>
        <v/>
      </c>
      <c r="AF46">
        <f>MAX(Positions!$C:$C)</f>
        <v/>
      </c>
      <c r="AG46">
        <f>ROUND(E46*$B$14/10000,2)</f>
        <v/>
      </c>
      <c r="AH46">
        <f>AH46-S46</f>
        <v/>
      </c>
      <c r="AI46">
        <f>AI46*$B$15</f>
        <v/>
      </c>
      <c r="AJ46">
        <f>CONCATENATE($A46," / ",TEXT(AJ46,"0.00"))</f>
        <v/>
      </c>
    </row>
    <row r="47">
      <c r="A47" t="inlineStr">
        <is>
          <t>00029</t>
        </is>
      </c>
      <c r="B47">
        <f>INDEX('Entity Map'!$B:$B,MATCH($A47,'Entity Map'!$A:$A,0))</f>
        <v/>
      </c>
      <c r="C47">
        <f>DATE(2026,11,1)</f>
        <v/>
      </c>
      <c r="D47">
        <f>TEXT($C47,"yyyy-mm")</f>
        <v/>
      </c>
      <c r="E47">
        <f>AVERAGEIFS(Positions!$F:$F,Positions!$A:$A,$A47)</f>
        <v/>
      </c>
      <c r="F47">
        <f>E46</f>
        <v/>
      </c>
      <c r="G47">
        <f>IF($A47=$A46,F46,E47)</f>
        <v/>
      </c>
      <c r="H47">
        <f>VLOOKUP(E47,'Fee Schedule'!$C$5:$E$11,3,TRUE)</f>
        <v/>
      </c>
      <c r="I47">
        <f>VLOOKUP($A47,'Fee Schedule'!$A$5:$E$92,5,FALSE)</f>
        <v/>
      </c>
      <c r="J47">
        <f>INDEX('Entity Map'!$C:$C,MATCH($A47,'Entity Map'!$A:$A,0))</f>
        <v/>
      </c>
      <c r="K47">
        <f>INDEX('Entity Map'!$D:$D,MATCH($A47,'Entity Map'!$A:$A,0))</f>
        <v/>
      </c>
      <c r="L47">
        <f>ROUND(E47*I47/10000,2)</f>
        <v/>
      </c>
      <c r="M47">
        <f>DAY(EOMONTH($C47,0))</f>
        <v/>
      </c>
      <c r="N47">
        <f>DATEDIF($C47,EOMONTH($C47,0),"d")+1</f>
        <v/>
      </c>
      <c r="O47">
        <f>ROUND(L47*N47/M47,2)</f>
        <v/>
      </c>
      <c r="P47">
        <f>MAX(O47,'Fee Schedule'!$H$3)</f>
        <v/>
      </c>
      <c r="Q47">
        <f>MIN(P47,'Fee Schedule'!$H$4)</f>
        <v/>
      </c>
      <c r="R47">
        <f>IFERROR(Q47*'Fee Schedule'!$H$5,0)</f>
        <v/>
      </c>
      <c r="S47">
        <f>ROUND(Q47-R47,2)</f>
        <v/>
      </c>
      <c r="T47">
        <f>LEFT($A47,3)&amp;"-"&amp;$D47</f>
        <v/>
      </c>
      <c r="U47">
        <f>COUNTIFS(Positions!$A:$A,$A47)</f>
        <v/>
      </c>
      <c r="V47">
        <f>SUM($S$19:S47)</f>
        <v/>
      </c>
      <c r="W47">
        <f>SUMPRODUCT(Positions!$F$4:$F$903,--(Positions!$A$4:$A$903=$A47))</f>
        <v/>
      </c>
      <c r="X47">
        <f>IF(S47&gt;40000,"A",IF(S47&gt;8000,"B","C"))</f>
        <v/>
      </c>
      <c r="Y47">
        <f>UPPER(TRIM(INDEX('Entity Map'!$E:$E,MATCH($A47,'Entity Map'!$A:$A,0))))</f>
        <v/>
      </c>
      <c r="Z47">
        <f>YEAR($C47)</f>
        <v/>
      </c>
      <c r="AA47">
        <f>IFERROR(VLOOKUP($A47,Overrides!$A:$C,3,FALSE),S47)</f>
        <v/>
      </c>
      <c r="AB47">
        <f>IF(AB47=S47,"","OVERRIDE")</f>
        <v/>
      </c>
      <c r="AC47">
        <f>SUMIFS(Positions!$F:$F,Positions!$E:$E,$Y47)</f>
        <v/>
      </c>
      <c r="AD47">
        <f>IFERROR(E47/AD47,0)</f>
        <v/>
      </c>
      <c r="AE47">
        <f>COUNTIF('Entity Map'!$A:$A,$A47)</f>
        <v/>
      </c>
      <c r="AF47">
        <f>MAX(Positions!$C:$C)</f>
        <v/>
      </c>
      <c r="AG47">
        <f>ROUND(E47*$B$14/10000,2)</f>
        <v/>
      </c>
      <c r="AH47">
        <f>AH47-S47</f>
        <v/>
      </c>
      <c r="AI47">
        <f>AI47*$B$15</f>
        <v/>
      </c>
      <c r="AJ47">
        <f>CONCATENATE($A47," / ",TEXT(AJ47,"0.00"))</f>
        <v/>
      </c>
    </row>
    <row r="48">
      <c r="A48" t="inlineStr">
        <is>
          <t>00030</t>
        </is>
      </c>
      <c r="B48">
        <f>INDEX('Entity Map'!$B:$B,MATCH($A48,'Entity Map'!$A:$A,0))</f>
        <v/>
      </c>
      <c r="C48">
        <f>DATE(2026,11,1)</f>
        <v/>
      </c>
      <c r="D48">
        <f>TEXT($C48,"yyyy-mm")</f>
        <v/>
      </c>
      <c r="E48">
        <f>AVERAGEIFS(Positions!$F:$F,Positions!$A:$A,$A48)</f>
        <v/>
      </c>
      <c r="F48">
        <f>E47</f>
        <v/>
      </c>
      <c r="G48">
        <f>IF($A48=$A47,F47,E48)</f>
        <v/>
      </c>
      <c r="H48">
        <f>VLOOKUP(E48,'Fee Schedule'!$C$5:$E$11,3,TRUE)</f>
        <v/>
      </c>
      <c r="I48">
        <f>VLOOKUP($A48,'Fee Schedule'!$A$5:$E$92,5,FALSE)</f>
        <v/>
      </c>
      <c r="J48">
        <f>INDEX('Entity Map'!$C:$C,MATCH($A48,'Entity Map'!$A:$A,0))</f>
        <v/>
      </c>
      <c r="K48">
        <f>INDEX('Entity Map'!$D:$D,MATCH($A48,'Entity Map'!$A:$A,0))</f>
        <v/>
      </c>
      <c r="L48">
        <f>ROUND(E48*I48/10000,2)</f>
        <v/>
      </c>
      <c r="M48">
        <f>DAY(EOMONTH($C48,0))</f>
        <v/>
      </c>
      <c r="N48">
        <f>DATEDIF($C48,EOMONTH($C48,0),"d")+1</f>
        <v/>
      </c>
      <c r="O48">
        <f>ROUND(L48*N48/M48,2)</f>
        <v/>
      </c>
      <c r="P48">
        <f>MAX(O48,'Fee Schedule'!$H$3)</f>
        <v/>
      </c>
      <c r="Q48">
        <f>MIN(P48,'Fee Schedule'!$H$4)</f>
        <v/>
      </c>
      <c r="R48">
        <f>IFERROR(Q48*'Fee Schedule'!$H$5,0)</f>
        <v/>
      </c>
      <c r="S48">
        <f>ROUND(Q48-R48,2)</f>
        <v/>
      </c>
      <c r="T48">
        <f>LEFT($A48,3)&amp;"-"&amp;$D48</f>
        <v/>
      </c>
      <c r="U48">
        <f>COUNTIFS(Positions!$A:$A,$A48)</f>
        <v/>
      </c>
      <c r="V48">
        <f>SUM($S$19:S48)</f>
        <v/>
      </c>
      <c r="W48">
        <f>SUMPRODUCT(Positions!$F$4:$F$903,--(Positions!$A$4:$A$903=$A48))</f>
        <v/>
      </c>
      <c r="X48">
        <f>IF(S48&gt;40000,"A",IF(S48&gt;8000,"B","C"))</f>
        <v/>
      </c>
      <c r="Y48">
        <f>UPPER(TRIM(INDEX('Entity Map'!$E:$E,MATCH($A48,'Entity Map'!$A:$A,0))))</f>
        <v/>
      </c>
      <c r="Z48">
        <f>YEAR($C48)</f>
        <v/>
      </c>
      <c r="AA48">
        <f>IFERROR(VLOOKUP($A48,Overrides!$A:$C,3,FALSE),S48)</f>
        <v/>
      </c>
      <c r="AB48">
        <f>IF(AB48=S48,"","OVERRIDE")</f>
        <v/>
      </c>
      <c r="AC48">
        <f>SUMIFS(Positions!$F:$F,Positions!$E:$E,$Y48)</f>
        <v/>
      </c>
      <c r="AD48">
        <f>IFERROR(E48/AD48,0)</f>
        <v/>
      </c>
      <c r="AE48">
        <f>COUNTIF('Entity Map'!$A:$A,$A48)</f>
        <v/>
      </c>
      <c r="AF48">
        <f>MAX(Positions!$C:$C)</f>
        <v/>
      </c>
      <c r="AG48">
        <f>ROUND(E48*$B$14/10000,2)</f>
        <v/>
      </c>
      <c r="AH48">
        <f>AH48-S48</f>
        <v/>
      </c>
      <c r="AI48">
        <f>AI48*$B$15</f>
        <v/>
      </c>
      <c r="AJ48">
        <f>CONCATENATE($A48," / ",TEXT(AJ48,"0.00"))</f>
        <v/>
      </c>
    </row>
    <row r="49">
      <c r="A49" t="inlineStr">
        <is>
          <t>00031</t>
        </is>
      </c>
      <c r="B49">
        <f>INDEX('Entity Map'!$B:$B,MATCH($A49,'Entity Map'!$A:$A,0))</f>
        <v/>
      </c>
      <c r="C49">
        <f>DATE(2026,11,1)</f>
        <v/>
      </c>
      <c r="D49">
        <f>TEXT($C49,"yyyy-mm")</f>
        <v/>
      </c>
      <c r="E49">
        <f>AVERAGEIFS(Positions!$F:$F,Positions!$A:$A,$A49)</f>
        <v/>
      </c>
      <c r="F49">
        <f>E48</f>
        <v/>
      </c>
      <c r="G49">
        <f>IF($A49=$A48,F48,E49)</f>
        <v/>
      </c>
      <c r="H49">
        <f>VLOOKUP(E49,'Fee Schedule'!$C$5:$E$11,3,TRUE)</f>
        <v/>
      </c>
      <c r="I49">
        <f>VLOOKUP($A49,'Fee Schedule'!$A$5:$E$92,5,FALSE)</f>
        <v/>
      </c>
      <c r="J49">
        <f>INDEX('Entity Map'!$C:$C,MATCH($A49,'Entity Map'!$A:$A,0))</f>
        <v/>
      </c>
      <c r="K49">
        <f>INDEX('Entity Map'!$D:$D,MATCH($A49,'Entity Map'!$A:$A,0))</f>
        <v/>
      </c>
      <c r="L49">
        <f>ROUND(E49*I49/10000,2)</f>
        <v/>
      </c>
      <c r="M49">
        <f>DAY(EOMONTH($C49,0))</f>
        <v/>
      </c>
      <c r="N49">
        <f>DATEDIF($C49,EOMONTH($C49,0),"d")+1</f>
        <v/>
      </c>
      <c r="O49">
        <f>ROUND(L49*N49/M49,2)</f>
        <v/>
      </c>
      <c r="P49">
        <f>MAX(O49,'Fee Schedule'!$H$3)</f>
        <v/>
      </c>
      <c r="Q49">
        <f>MIN(P49,'Fee Schedule'!$H$4)</f>
        <v/>
      </c>
      <c r="R49">
        <f>IFERROR(Q49*'Fee Schedule'!$H$5,0)</f>
        <v/>
      </c>
      <c r="S49">
        <f>ROUND(Q49-R49,2)</f>
        <v/>
      </c>
      <c r="T49">
        <f>LEFT($A49,3)&amp;"-"&amp;$D49</f>
        <v/>
      </c>
      <c r="U49">
        <f>COUNTIFS(Positions!$A:$A,$A49)</f>
        <v/>
      </c>
      <c r="V49">
        <f>SUM($S$19:S49)</f>
        <v/>
      </c>
      <c r="W49">
        <f>SUMPRODUCT(Positions!$F$4:$F$903,--(Positions!$A$4:$A$903=$A49))</f>
        <v/>
      </c>
      <c r="X49">
        <f>IF(S49&gt;40000,"A",IF(S49&gt;8000,"B","C"))</f>
        <v/>
      </c>
      <c r="Y49">
        <f>UPPER(TRIM(INDEX('Entity Map'!$E:$E,MATCH($A49,'Entity Map'!$A:$A,0))))</f>
        <v/>
      </c>
      <c r="Z49">
        <f>YEAR($C49)</f>
        <v/>
      </c>
      <c r="AA49">
        <f>IFERROR(VLOOKUP($A49,Overrides!$A:$C,3,FALSE),S49)</f>
        <v/>
      </c>
      <c r="AB49">
        <f>IF(AB49=S49,"","OVERRIDE")</f>
        <v/>
      </c>
      <c r="AC49">
        <f>SUMIFS(Positions!$F:$F,Positions!$E:$E,$Y49)</f>
        <v/>
      </c>
      <c r="AD49">
        <f>IFERROR(E49/AD49,0)</f>
        <v/>
      </c>
      <c r="AE49">
        <f>COUNTIF('Entity Map'!$A:$A,$A49)</f>
        <v/>
      </c>
      <c r="AF49">
        <f>MAX(Positions!$C:$C)</f>
        <v/>
      </c>
      <c r="AG49">
        <f>ROUND(E49*$B$14/10000,2)</f>
        <v/>
      </c>
      <c r="AH49">
        <f>AH49-S49</f>
        <v/>
      </c>
      <c r="AI49">
        <f>AI49*$B$15</f>
        <v/>
      </c>
      <c r="AJ49">
        <f>CONCATENATE($A49," / ",TEXT(AJ49,"0.00"))</f>
        <v/>
      </c>
    </row>
    <row r="50">
      <c r="A50" t="inlineStr">
        <is>
          <t>00032</t>
        </is>
      </c>
      <c r="B50">
        <f>INDEX('Entity Map'!$B:$B,MATCH($A50,'Entity Map'!$A:$A,0))</f>
        <v/>
      </c>
      <c r="C50">
        <f>DATE(2026,11,1)</f>
        <v/>
      </c>
      <c r="D50">
        <f>TEXT($C50,"yyyy-mm")</f>
        <v/>
      </c>
      <c r="E50">
        <f>AVERAGEIFS(Positions!$F:$F,Positions!$A:$A,$A50)</f>
        <v/>
      </c>
      <c r="F50">
        <f>E49</f>
        <v/>
      </c>
      <c r="G50">
        <f>IF($A50=$A49,F49,E50)</f>
        <v/>
      </c>
      <c r="H50">
        <f>VLOOKUP(E50,'Fee Schedule'!$C$5:$E$11,3,TRUE)</f>
        <v/>
      </c>
      <c r="I50">
        <f>VLOOKUP($A50,'Fee Schedule'!$A$5:$E$92,5,FALSE)</f>
        <v/>
      </c>
      <c r="J50">
        <f>INDEX('Entity Map'!$C:$C,MATCH($A50,'Entity Map'!$A:$A,0))</f>
        <v/>
      </c>
      <c r="K50">
        <f>INDEX('Entity Map'!$D:$D,MATCH($A50,'Entity Map'!$A:$A,0))</f>
        <v/>
      </c>
      <c r="L50">
        <f>ROUND(E50*I50/10000,2)</f>
        <v/>
      </c>
      <c r="M50">
        <f>DAY(EOMONTH($C50,0))</f>
        <v/>
      </c>
      <c r="N50">
        <f>DATEDIF($C50,EOMONTH($C50,0),"d")+1</f>
        <v/>
      </c>
      <c r="O50">
        <f>ROUND(L50*N50/M50,2)</f>
        <v/>
      </c>
      <c r="P50">
        <f>MAX(O50,'Fee Schedule'!$H$3)</f>
        <v/>
      </c>
      <c r="Q50">
        <f>MIN(P50,'Fee Schedule'!$H$4)</f>
        <v/>
      </c>
      <c r="R50">
        <f>IFERROR(Q50*'Fee Schedule'!$H$5,0)</f>
        <v/>
      </c>
      <c r="S50">
        <f>ROUND(Q50-R50,2)</f>
        <v/>
      </c>
      <c r="T50">
        <f>LEFT($A50,3)&amp;"-"&amp;$D50</f>
        <v/>
      </c>
      <c r="U50">
        <f>COUNTIFS(Positions!$A:$A,$A50)</f>
        <v/>
      </c>
      <c r="V50">
        <f>SUM($S$19:S50)</f>
        <v/>
      </c>
      <c r="W50">
        <f>SUMPRODUCT(Positions!$F$4:$F$903,--(Positions!$A$4:$A$903=$A50))</f>
        <v/>
      </c>
      <c r="X50">
        <f>IF(S50&gt;40000,"A",IF(S50&gt;8000,"B","C"))</f>
        <v/>
      </c>
      <c r="Y50">
        <f>UPPER(TRIM(INDEX('Entity Map'!$E:$E,MATCH($A50,'Entity Map'!$A:$A,0))))</f>
        <v/>
      </c>
      <c r="Z50">
        <f>YEAR($C50)</f>
        <v/>
      </c>
      <c r="AA50">
        <f>IFERROR(VLOOKUP($A50,Overrides!$A:$C,3,FALSE),S50)</f>
        <v/>
      </c>
      <c r="AB50">
        <f>IF(AB50=S50,"","OVERRIDE")</f>
        <v/>
      </c>
      <c r="AC50">
        <f>SUMIFS(Positions!$F:$F,Positions!$E:$E,$Y50)</f>
        <v/>
      </c>
      <c r="AD50">
        <f>IFERROR(E50/AD50,0)</f>
        <v/>
      </c>
      <c r="AE50">
        <f>COUNTIF('Entity Map'!$A:$A,$A50)</f>
        <v/>
      </c>
      <c r="AF50">
        <f>MAX(Positions!$C:$C)</f>
        <v/>
      </c>
      <c r="AG50">
        <f>ROUND(E50*$B$14/10000,2)</f>
        <v/>
      </c>
      <c r="AH50">
        <f>AH50-S50</f>
        <v/>
      </c>
      <c r="AI50">
        <f>AI50*$B$15</f>
        <v/>
      </c>
      <c r="AJ50">
        <f>CONCATENATE($A50," / ",TEXT(AJ50,"0.00"))</f>
        <v/>
      </c>
    </row>
    <row r="51">
      <c r="A51" t="inlineStr">
        <is>
          <t>00033</t>
        </is>
      </c>
      <c r="B51">
        <f>INDEX('Entity Map'!$B:$B,MATCH($A51,'Entity Map'!$A:$A,0))</f>
        <v/>
      </c>
      <c r="C51">
        <f>DATE(2026,11,1)</f>
        <v/>
      </c>
      <c r="D51">
        <f>TEXT($C51,"yyyy-mm")</f>
        <v/>
      </c>
      <c r="E51">
        <f>AVERAGEIFS(Positions!$F:$F,Positions!$A:$A,$A51)</f>
        <v/>
      </c>
      <c r="F51">
        <f>E50</f>
        <v/>
      </c>
      <c r="G51">
        <f>IF($A51=$A50,F50,E51)</f>
        <v/>
      </c>
      <c r="H51">
        <f>VLOOKUP(E51,'Fee Schedule'!$C$5:$E$11,3,TRUE)</f>
        <v/>
      </c>
      <c r="I51">
        <f>VLOOKUP($A51,'Fee Schedule'!$A$5:$E$92,5,FALSE)</f>
        <v/>
      </c>
      <c r="J51">
        <f>INDEX('Entity Map'!$C:$C,MATCH($A51,'Entity Map'!$A:$A,0))</f>
        <v/>
      </c>
      <c r="K51">
        <f>INDEX('Entity Map'!$D:$D,MATCH($A51,'Entity Map'!$A:$A,0))</f>
        <v/>
      </c>
      <c r="L51">
        <f>ROUND(E51*I51/10000,2)</f>
        <v/>
      </c>
      <c r="M51">
        <f>DAY(EOMONTH($C51,0))</f>
        <v/>
      </c>
      <c r="N51">
        <f>DATEDIF($C51,EOMONTH($C51,0),"d")+1</f>
        <v/>
      </c>
      <c r="O51">
        <f>ROUND(L51*N51/M51,2)</f>
        <v/>
      </c>
      <c r="P51">
        <f>MAX(O51,'Fee Schedule'!$H$3)</f>
        <v/>
      </c>
      <c r="Q51">
        <f>MIN(P51,'Fee Schedule'!$H$4)</f>
        <v/>
      </c>
      <c r="R51">
        <f>IFERROR(Q51*'Fee Schedule'!$H$5,0)</f>
        <v/>
      </c>
      <c r="S51">
        <f>ROUND(Q51-R51,2)</f>
        <v/>
      </c>
      <c r="T51">
        <f>LEFT($A51,3)&amp;"-"&amp;$D51</f>
        <v/>
      </c>
      <c r="U51">
        <f>COUNTIFS(Positions!$A:$A,$A51)</f>
        <v/>
      </c>
      <c r="V51">
        <f>SUM($S$19:S51)</f>
        <v/>
      </c>
      <c r="W51">
        <f>SUMPRODUCT(Positions!$F$4:$F$903,--(Positions!$A$4:$A$903=$A51))</f>
        <v/>
      </c>
      <c r="X51">
        <f>IF(S51&gt;40000,"A",IF(S51&gt;8000,"B","C"))</f>
        <v/>
      </c>
      <c r="Y51">
        <f>UPPER(TRIM(INDEX('Entity Map'!$E:$E,MATCH($A51,'Entity Map'!$A:$A,0))))</f>
        <v/>
      </c>
      <c r="Z51">
        <f>YEAR($C51)</f>
        <v/>
      </c>
      <c r="AA51">
        <f>IFERROR(VLOOKUP($A51,Overrides!$A:$C,3,FALSE),S51)</f>
        <v/>
      </c>
      <c r="AB51">
        <f>IF(AB51=S51,"","OVERRIDE")</f>
        <v/>
      </c>
      <c r="AC51">
        <f>SUMIFS(Positions!$F:$F,Positions!$E:$E,$Y51)</f>
        <v/>
      </c>
      <c r="AD51">
        <f>IFERROR(E51/AD51,0)</f>
        <v/>
      </c>
      <c r="AE51">
        <f>COUNTIF('Entity Map'!$A:$A,$A51)</f>
        <v/>
      </c>
      <c r="AF51">
        <f>MAX(Positions!$C:$C)</f>
        <v/>
      </c>
      <c r="AG51">
        <f>ROUND(E51*$B$14/10000,2)</f>
        <v/>
      </c>
      <c r="AH51">
        <f>AH51-S51</f>
        <v/>
      </c>
      <c r="AI51">
        <f>AI51*$B$15</f>
        <v/>
      </c>
      <c r="AJ51">
        <f>CONCATENATE($A51," / ",TEXT(AJ51,"0.00"))</f>
        <v/>
      </c>
    </row>
    <row r="52">
      <c r="A52" t="inlineStr">
        <is>
          <t>00034</t>
        </is>
      </c>
      <c r="B52">
        <f>INDEX('Entity Map'!$B:$B,MATCH($A52,'Entity Map'!$A:$A,0))</f>
        <v/>
      </c>
      <c r="C52">
        <f>DATE(2026,11,1)</f>
        <v/>
      </c>
      <c r="D52">
        <f>TEXT($C52,"yyyy-mm")</f>
        <v/>
      </c>
      <c r="E52">
        <f>AVERAGEIFS(Positions!$F:$F,Positions!$A:$A,$A52)</f>
        <v/>
      </c>
      <c r="F52">
        <f>E51</f>
        <v/>
      </c>
      <c r="G52">
        <f>IF($A52=$A51,F51,E52)</f>
        <v/>
      </c>
      <c r="H52">
        <f>VLOOKUP(E52,'Fee Schedule'!$C$5:$E$11,3,TRUE)</f>
        <v/>
      </c>
      <c r="I52">
        <f>VLOOKUP($A52,'Fee Schedule'!$A$5:$E$92,5,FALSE)</f>
        <v/>
      </c>
      <c r="J52">
        <f>INDEX('Entity Map'!$C:$C,MATCH($A52,'Entity Map'!$A:$A,0))</f>
        <v/>
      </c>
      <c r="K52">
        <f>INDEX('Entity Map'!$D:$D,MATCH($A52,'Entity Map'!$A:$A,0))</f>
        <v/>
      </c>
      <c r="L52">
        <f>ROUND(E52*I52/10000,2)</f>
        <v/>
      </c>
      <c r="M52">
        <f>DAY(EOMONTH($C52,0))</f>
        <v/>
      </c>
      <c r="N52">
        <f>DATEDIF($C52,EOMONTH($C52,0),"d")+1</f>
        <v/>
      </c>
      <c r="O52">
        <f>ROUND(L52*N52/M52,2)</f>
        <v/>
      </c>
      <c r="P52">
        <f>MAX(O52,'Fee Schedule'!$H$3)</f>
        <v/>
      </c>
      <c r="Q52">
        <f>MIN(P52,'Fee Schedule'!$H$4)</f>
        <v/>
      </c>
      <c r="R52">
        <f>IFERROR(Q52*'Fee Schedule'!$H$5,0)</f>
        <v/>
      </c>
      <c r="S52">
        <f>ROUND(Q52-R52,2)</f>
        <v/>
      </c>
      <c r="T52">
        <f>LEFT($A52,3)&amp;"-"&amp;$D52</f>
        <v/>
      </c>
      <c r="U52">
        <f>COUNTIFS(Positions!$A:$A,$A52)</f>
        <v/>
      </c>
      <c r="V52">
        <f>SUM($S$19:S52)</f>
        <v/>
      </c>
      <c r="W52">
        <f>SUMPRODUCT(Positions!$F$4:$F$903,--(Positions!$A$4:$A$903=$A52))</f>
        <v/>
      </c>
      <c r="X52">
        <f>IF(S52&gt;40000,"A",IF(S52&gt;8000,"B","C"))</f>
        <v/>
      </c>
      <c r="Y52">
        <f>UPPER(TRIM(INDEX('Entity Map'!$E:$E,MATCH($A52,'Entity Map'!$A:$A,0))))</f>
        <v/>
      </c>
      <c r="Z52">
        <f>YEAR($C52)</f>
        <v/>
      </c>
      <c r="AA52">
        <f>IFERROR(VLOOKUP($A52,Overrides!$A:$C,3,FALSE),S52)</f>
        <v/>
      </c>
      <c r="AB52">
        <f>IF(AB52=S52,"","OVERRIDE")</f>
        <v/>
      </c>
      <c r="AC52">
        <f>SUMIFS(Positions!$F:$F,Positions!$E:$E,$Y52)</f>
        <v/>
      </c>
      <c r="AD52">
        <f>IFERROR(E52/AD52,0)</f>
        <v/>
      </c>
      <c r="AE52">
        <f>COUNTIF('Entity Map'!$A:$A,$A52)</f>
        <v/>
      </c>
      <c r="AF52">
        <f>MAX(Positions!$C:$C)</f>
        <v/>
      </c>
      <c r="AG52">
        <f>ROUND(E52*$B$14/10000,2)</f>
        <v/>
      </c>
      <c r="AH52">
        <f>AH52-S52</f>
        <v/>
      </c>
      <c r="AI52">
        <f>AI52*$B$15</f>
        <v/>
      </c>
      <c r="AJ52">
        <f>CONCATENATE($A52," / ",TEXT(AJ52,"0.00"))</f>
        <v/>
      </c>
    </row>
    <row r="53">
      <c r="A53" t="inlineStr">
        <is>
          <t>00035</t>
        </is>
      </c>
      <c r="B53">
        <f>INDEX('Entity Map'!$B:$B,MATCH($A53,'Entity Map'!$A:$A,0))</f>
        <v/>
      </c>
      <c r="C53">
        <f>DATE(2026,11,1)</f>
        <v/>
      </c>
      <c r="D53">
        <f>TEXT($C53,"yyyy-mm")</f>
        <v/>
      </c>
      <c r="E53">
        <f>AVERAGEIFS(Positions!$F:$F,Positions!$A:$A,$A53)</f>
        <v/>
      </c>
      <c r="F53">
        <f>E52</f>
        <v/>
      </c>
      <c r="G53">
        <f>IF($A53=$A52,F52,E53)</f>
        <v/>
      </c>
      <c r="H53">
        <f>VLOOKUP(E53,'Fee Schedule'!$C$5:$E$11,3,TRUE)</f>
        <v/>
      </c>
      <c r="I53">
        <f>VLOOKUP($A53,'Fee Schedule'!$A$5:$E$92,5,FALSE)</f>
        <v/>
      </c>
      <c r="J53">
        <f>INDEX('Entity Map'!$C:$C,MATCH($A53,'Entity Map'!$A:$A,0))</f>
        <v/>
      </c>
      <c r="K53">
        <f>INDEX('Entity Map'!$D:$D,MATCH($A53,'Entity Map'!$A:$A,0))</f>
        <v/>
      </c>
      <c r="L53">
        <f>ROUND(E53*I53/10000,2)</f>
        <v/>
      </c>
      <c r="M53">
        <f>DAY(EOMONTH($C53,0))</f>
        <v/>
      </c>
      <c r="N53">
        <f>DATEDIF($C53,EOMONTH($C53,0),"d")+1</f>
        <v/>
      </c>
      <c r="O53">
        <f>ROUND(L53*N53/M53,2)</f>
        <v/>
      </c>
      <c r="P53">
        <f>MAX(O53,'Fee Schedule'!$H$3)</f>
        <v/>
      </c>
      <c r="Q53">
        <f>MIN(P53,'Fee Schedule'!$H$4)</f>
        <v/>
      </c>
      <c r="R53">
        <f>IFERROR(Q53*'Fee Schedule'!$H$5,0)</f>
        <v/>
      </c>
      <c r="S53">
        <f>ROUND(Q53-R53,2)</f>
        <v/>
      </c>
      <c r="T53">
        <f>LEFT($A53,3)&amp;"-"&amp;$D53</f>
        <v/>
      </c>
      <c r="U53">
        <f>COUNTIFS(Positions!$A:$A,$A53)</f>
        <v/>
      </c>
      <c r="V53">
        <f>SUM($S$19:S53)</f>
        <v/>
      </c>
      <c r="W53">
        <f>SUMPRODUCT(Positions!$F$4:$F$903,--(Positions!$A$4:$A$903=$A53))</f>
        <v/>
      </c>
      <c r="X53">
        <f>IF(S53&gt;40000,"A",IF(S53&gt;8000,"B","C"))</f>
        <v/>
      </c>
      <c r="Y53">
        <f>UPPER(TRIM(INDEX('Entity Map'!$E:$E,MATCH($A53,'Entity Map'!$A:$A,0))))</f>
        <v/>
      </c>
      <c r="Z53">
        <f>YEAR($C53)</f>
        <v/>
      </c>
      <c r="AA53">
        <f>IFERROR(VLOOKUP($A53,Overrides!$A:$C,3,FALSE),S53)</f>
        <v/>
      </c>
      <c r="AB53">
        <f>IF(AB53=S53,"","OVERRIDE")</f>
        <v/>
      </c>
      <c r="AC53">
        <f>SUMIFS(Positions!$F:$F,Positions!$E:$E,$Y53)</f>
        <v/>
      </c>
      <c r="AD53">
        <f>IFERROR(E53/AD53,0)</f>
        <v/>
      </c>
      <c r="AE53">
        <f>COUNTIF('Entity Map'!$A:$A,$A53)</f>
        <v/>
      </c>
      <c r="AF53">
        <f>MAX(Positions!$C:$C)</f>
        <v/>
      </c>
      <c r="AG53">
        <f>ROUND(E53*$B$14/10000,2)</f>
        <v/>
      </c>
      <c r="AH53">
        <f>AH53-S53</f>
        <v/>
      </c>
      <c r="AI53">
        <f>AI53*$B$15</f>
        <v/>
      </c>
      <c r="AJ53">
        <f>CONCATENATE($A53," / ",TEXT(AJ53,"0.00"))</f>
        <v/>
      </c>
    </row>
    <row r="54">
      <c r="A54" t="inlineStr">
        <is>
          <t>00036</t>
        </is>
      </c>
      <c r="B54">
        <f>INDEX('Entity Map'!$B:$B,MATCH($A54,'Entity Map'!$A:$A,0))</f>
        <v/>
      </c>
      <c r="C54">
        <f>DATE(2026,11,1)</f>
        <v/>
      </c>
      <c r="D54">
        <f>TEXT($C54,"yyyy-mm")</f>
        <v/>
      </c>
      <c r="E54">
        <f>AVERAGEIFS(Positions!$F:$F,Positions!$A:$A,$A54)</f>
        <v/>
      </c>
      <c r="F54">
        <f>E53</f>
        <v/>
      </c>
      <c r="G54">
        <f>IF($A54=$A53,F53,E54)</f>
        <v/>
      </c>
      <c r="H54">
        <f>VLOOKUP(E54,'Fee Schedule'!$C$5:$E$11,3,TRUE)</f>
        <v/>
      </c>
      <c r="I54">
        <f>VLOOKUP($A54,'Fee Schedule'!$A$5:$E$92,5,FALSE)</f>
        <v/>
      </c>
      <c r="J54">
        <f>INDEX('Entity Map'!$C:$C,MATCH($A54,'Entity Map'!$A:$A,0))</f>
        <v/>
      </c>
      <c r="K54">
        <f>INDEX('Entity Map'!$D:$D,MATCH($A54,'Entity Map'!$A:$A,0))</f>
        <v/>
      </c>
      <c r="L54">
        <f>ROUND(E54*I54/10000,2)</f>
        <v/>
      </c>
      <c r="M54">
        <f>DAY(EOMONTH($C54,0))</f>
        <v/>
      </c>
      <c r="N54">
        <f>DATEDIF($C54,EOMONTH($C54,0),"d")+1</f>
        <v/>
      </c>
      <c r="O54">
        <f>ROUND(L54*N54/M54,2)</f>
        <v/>
      </c>
      <c r="P54">
        <f>MAX(O54,'Fee Schedule'!$H$3)</f>
        <v/>
      </c>
      <c r="Q54">
        <f>MIN(P54,'Fee Schedule'!$H$4)</f>
        <v/>
      </c>
      <c r="R54">
        <f>IFERROR(Q54*'Fee Schedule'!$H$5,0)</f>
        <v/>
      </c>
      <c r="S54">
        <f>ROUND(Q54-R54,2)</f>
        <v/>
      </c>
      <c r="T54">
        <f>LEFT($A54,3)&amp;"-"&amp;$D54</f>
        <v/>
      </c>
      <c r="U54">
        <f>COUNTIFS(Positions!$A:$A,$A54)</f>
        <v/>
      </c>
      <c r="V54">
        <f>SUM($S$19:S54)</f>
        <v/>
      </c>
      <c r="W54">
        <f>SUMPRODUCT(Positions!$F$4:$F$903,--(Positions!$A$4:$A$903=$A54))</f>
        <v/>
      </c>
      <c r="X54">
        <f>IF(S54&gt;40000,"A",IF(S54&gt;8000,"B","C"))</f>
        <v/>
      </c>
      <c r="Y54">
        <f>UPPER(TRIM(INDEX('Entity Map'!$E:$E,MATCH($A54,'Entity Map'!$A:$A,0))))</f>
        <v/>
      </c>
      <c r="Z54">
        <f>YEAR($C54)</f>
        <v/>
      </c>
      <c r="AA54">
        <f>IFERROR(VLOOKUP($A54,Overrides!$A:$C,3,FALSE),S54)</f>
        <v/>
      </c>
      <c r="AB54">
        <f>IF(AB54=S54,"","OVERRIDE")</f>
        <v/>
      </c>
      <c r="AC54">
        <f>SUMIFS(Positions!$F:$F,Positions!$E:$E,$Y54)</f>
        <v/>
      </c>
      <c r="AD54">
        <f>IFERROR(E54/AD54,0)</f>
        <v/>
      </c>
      <c r="AE54">
        <f>COUNTIF('Entity Map'!$A:$A,$A54)</f>
        <v/>
      </c>
      <c r="AF54">
        <f>MAX(Positions!$C:$C)</f>
        <v/>
      </c>
      <c r="AG54">
        <f>ROUND(E54*$B$14/10000,2)</f>
        <v/>
      </c>
      <c r="AH54">
        <f>AH54-S54</f>
        <v/>
      </c>
      <c r="AI54">
        <f>AI54*$B$15</f>
        <v/>
      </c>
      <c r="AJ54">
        <f>CONCATENATE($A54," / ",TEXT(AJ54,"0.00"))</f>
        <v/>
      </c>
    </row>
    <row r="55">
      <c r="A55" t="inlineStr">
        <is>
          <t>00037</t>
        </is>
      </c>
      <c r="B55">
        <f>INDEX('Entity Map'!$B:$B,MATCH($A55,'Entity Map'!$A:$A,0))</f>
        <v/>
      </c>
      <c r="C55">
        <f>DATE(2026,11,1)</f>
        <v/>
      </c>
      <c r="D55">
        <f>TEXT($C55,"yyyy-mm")</f>
        <v/>
      </c>
      <c r="E55">
        <f>AVERAGEIFS(Positions!$F:$F,Positions!$A:$A,$A55)</f>
        <v/>
      </c>
      <c r="F55">
        <f>E54</f>
        <v/>
      </c>
      <c r="G55">
        <f>IF($A55=$A54,F54,E55)</f>
        <v/>
      </c>
      <c r="H55">
        <f>VLOOKUP(E55,'Fee Schedule'!$C$5:$E$11,3,TRUE)</f>
        <v/>
      </c>
      <c r="I55">
        <f>VLOOKUP($A55,'Fee Schedule'!$A$5:$E$92,5,FALSE)</f>
        <v/>
      </c>
      <c r="J55">
        <f>INDEX('Entity Map'!$C:$C,MATCH($A55,'Entity Map'!$A:$A,0))</f>
        <v/>
      </c>
      <c r="K55">
        <f>INDEX('Entity Map'!$D:$D,MATCH($A55,'Entity Map'!$A:$A,0))</f>
        <v/>
      </c>
      <c r="L55">
        <f>ROUND(E55*I55/10000,2)</f>
        <v/>
      </c>
      <c r="M55">
        <f>DAY(EOMONTH($C55,0))</f>
        <v/>
      </c>
      <c r="N55">
        <f>DATEDIF($C55,EOMONTH($C55,0),"d")+1</f>
        <v/>
      </c>
      <c r="O55">
        <f>ROUND(L55*N55/M55,2)</f>
        <v/>
      </c>
      <c r="P55">
        <f>MAX(O55,'Fee Schedule'!$H$3)</f>
        <v/>
      </c>
      <c r="Q55">
        <f>MIN(P55,'Fee Schedule'!$H$4)</f>
        <v/>
      </c>
      <c r="R55">
        <f>IFERROR(Q55*'Fee Schedule'!$H$5,0)</f>
        <v/>
      </c>
      <c r="S55">
        <f>ROUND(Q55-R55,2)</f>
        <v/>
      </c>
      <c r="T55">
        <f>LEFT($A55,3)&amp;"-"&amp;$D55</f>
        <v/>
      </c>
      <c r="U55">
        <f>COUNTIFS(Positions!$A:$A,$A55)</f>
        <v/>
      </c>
      <c r="V55">
        <f>SUM($S$19:S55)</f>
        <v/>
      </c>
      <c r="W55">
        <f>SUMPRODUCT(Positions!$F$4:$F$903,--(Positions!$A$4:$A$903=$A55))</f>
        <v/>
      </c>
      <c r="X55">
        <f>IF(S55&gt;40000,"A",IF(S55&gt;8000,"B","C"))</f>
        <v/>
      </c>
      <c r="Y55">
        <f>UPPER(TRIM(INDEX('Entity Map'!$E:$E,MATCH($A55,'Entity Map'!$A:$A,0))))</f>
        <v/>
      </c>
      <c r="Z55">
        <f>YEAR($C55)</f>
        <v/>
      </c>
      <c r="AA55">
        <f>IFERROR(VLOOKUP($A55,Overrides!$A:$C,3,FALSE),S55)</f>
        <v/>
      </c>
      <c r="AB55">
        <f>IF(AB55=S55,"","OVERRIDE")</f>
        <v/>
      </c>
      <c r="AC55">
        <f>SUMIFS(Positions!$F:$F,Positions!$E:$E,$Y55)</f>
        <v/>
      </c>
      <c r="AD55">
        <f>IFERROR(E55/AD55,0)</f>
        <v/>
      </c>
      <c r="AE55">
        <f>COUNTIF('Entity Map'!$A:$A,$A55)</f>
        <v/>
      </c>
      <c r="AF55">
        <f>MAX(Positions!$C:$C)</f>
        <v/>
      </c>
      <c r="AG55">
        <f>ROUND(E55*$B$14/10000,2)</f>
        <v/>
      </c>
      <c r="AH55">
        <f>AH55-S55</f>
        <v/>
      </c>
      <c r="AI55">
        <f>AI55*$B$15</f>
        <v/>
      </c>
      <c r="AJ55">
        <f>CONCATENATE($A55," / ",TEXT(AJ55,"0.00"))</f>
        <v/>
      </c>
    </row>
    <row r="56">
      <c r="A56" t="inlineStr">
        <is>
          <t>00038</t>
        </is>
      </c>
      <c r="B56">
        <f>INDEX('Entity Map'!$B:$B,MATCH($A56,'Entity Map'!$A:$A,0))</f>
        <v/>
      </c>
      <c r="C56">
        <f>DATE(2026,11,1)</f>
        <v/>
      </c>
      <c r="D56">
        <f>TEXT($C56,"yyyy-mm")</f>
        <v/>
      </c>
      <c r="E56">
        <f>AVERAGEIFS(Positions!$F:$F,Positions!$A:$A,$A56)</f>
        <v/>
      </c>
      <c r="F56">
        <f>E55</f>
        <v/>
      </c>
      <c r="G56">
        <f>IF($A56=$A55,F55,E56)</f>
        <v/>
      </c>
      <c r="H56">
        <f>VLOOKUP(E56,'Fee Schedule'!$C$5:$E$11,3,TRUE)</f>
        <v/>
      </c>
      <c r="I56">
        <f>VLOOKUP($A56,'Fee Schedule'!$A$5:$E$92,5,FALSE)</f>
        <v/>
      </c>
      <c r="J56">
        <f>INDEX('Entity Map'!$C:$C,MATCH($A56,'Entity Map'!$A:$A,0))</f>
        <v/>
      </c>
      <c r="K56">
        <f>INDEX('Entity Map'!$D:$D,MATCH($A56,'Entity Map'!$A:$A,0))</f>
        <v/>
      </c>
      <c r="L56">
        <f>ROUND(E56*I56/10000,2)</f>
        <v/>
      </c>
      <c r="M56">
        <f>DAY(EOMONTH($C56,0))</f>
        <v/>
      </c>
      <c r="N56">
        <f>DATEDIF($C56,EOMONTH($C56,0),"d")+1</f>
        <v/>
      </c>
      <c r="O56">
        <f>ROUND(L56*N56/M56,2)</f>
        <v/>
      </c>
      <c r="P56">
        <f>MAX(O56,'Fee Schedule'!$H$3)</f>
        <v/>
      </c>
      <c r="Q56">
        <f>MIN(P56,'Fee Schedule'!$H$4)</f>
        <v/>
      </c>
      <c r="R56">
        <f>IFERROR(Q56*'Fee Schedule'!$H$5,0)</f>
        <v/>
      </c>
      <c r="S56">
        <f>ROUND(Q56-R56,2)</f>
        <v/>
      </c>
      <c r="T56">
        <f>LEFT($A56,3)&amp;"-"&amp;$D56</f>
        <v/>
      </c>
      <c r="U56">
        <f>COUNTIFS(Positions!$A:$A,$A56)</f>
        <v/>
      </c>
      <c r="V56">
        <f>SUM($S$19:S56)</f>
        <v/>
      </c>
      <c r="W56">
        <f>SUMPRODUCT(Positions!$F$4:$F$903,--(Positions!$A$4:$A$903=$A56))</f>
        <v/>
      </c>
      <c r="X56">
        <f>IF(S56&gt;40000,"A",IF(S56&gt;8000,"B","C"))</f>
        <v/>
      </c>
      <c r="Y56">
        <f>UPPER(TRIM(INDEX('Entity Map'!$E:$E,MATCH($A56,'Entity Map'!$A:$A,0))))</f>
        <v/>
      </c>
      <c r="Z56">
        <f>YEAR($C56)</f>
        <v/>
      </c>
      <c r="AA56">
        <f>IFERROR(VLOOKUP($A56,Overrides!$A:$C,3,FALSE),S56)</f>
        <v/>
      </c>
      <c r="AB56">
        <f>IF(AB56=S56,"","OVERRIDE")</f>
        <v/>
      </c>
      <c r="AC56">
        <f>SUMIFS(Positions!$F:$F,Positions!$E:$E,$Y56)</f>
        <v/>
      </c>
      <c r="AD56">
        <f>IFERROR(E56/AD56,0)</f>
        <v/>
      </c>
      <c r="AE56">
        <f>COUNTIF('Entity Map'!$A:$A,$A56)</f>
        <v/>
      </c>
      <c r="AF56">
        <f>MAX(Positions!$C:$C)</f>
        <v/>
      </c>
      <c r="AG56">
        <f>ROUND(E56*$B$14/10000,2)</f>
        <v/>
      </c>
      <c r="AH56">
        <f>AH56-S56</f>
        <v/>
      </c>
      <c r="AI56">
        <f>AI56*$B$15</f>
        <v/>
      </c>
      <c r="AJ56">
        <f>CONCATENATE($A56," / ",TEXT(AJ56,"0.00"))</f>
        <v/>
      </c>
    </row>
    <row r="57">
      <c r="A57" t="inlineStr">
        <is>
          <t>00039</t>
        </is>
      </c>
      <c r="B57">
        <f>INDEX('Entity Map'!$B:$B,MATCH($A57,'Entity Map'!$A:$A,0))</f>
        <v/>
      </c>
      <c r="C57">
        <f>DATE(2026,11,1)</f>
        <v/>
      </c>
      <c r="D57">
        <f>TEXT($C57,"yyyy-mm")</f>
        <v/>
      </c>
      <c r="E57">
        <f>AVERAGEIFS(Positions!$F:$F,Positions!$A:$A,$A57)</f>
        <v/>
      </c>
      <c r="F57">
        <f>E56</f>
        <v/>
      </c>
      <c r="G57">
        <f>IF($A57=$A56,F56,E57)</f>
        <v/>
      </c>
      <c r="H57">
        <f>VLOOKUP(E57,'Fee Schedule'!$C$5:$E$11,3,TRUE)</f>
        <v/>
      </c>
      <c r="I57">
        <f>VLOOKUP($A57,'Fee Schedule'!$A$5:$E$92,5,FALSE)</f>
        <v/>
      </c>
      <c r="J57">
        <f>INDEX('Entity Map'!$C:$C,MATCH($A57,'Entity Map'!$A:$A,0))</f>
        <v/>
      </c>
      <c r="K57">
        <f>INDEX('Entity Map'!$D:$D,MATCH($A57,'Entity Map'!$A:$A,0))</f>
        <v/>
      </c>
      <c r="L57">
        <f>ROUND(E57*I57/10000,2)</f>
        <v/>
      </c>
      <c r="M57">
        <f>DAY(EOMONTH($C57,0))</f>
        <v/>
      </c>
      <c r="N57">
        <f>DATEDIF($C57,EOMONTH($C57,0),"d")+1</f>
        <v/>
      </c>
      <c r="O57">
        <f>ROUND(L57*N57/M57,2)</f>
        <v/>
      </c>
      <c r="P57">
        <f>MAX(O57,'Fee Schedule'!$H$3)</f>
        <v/>
      </c>
      <c r="Q57">
        <f>MIN(P57,'Fee Schedule'!$H$4)</f>
        <v/>
      </c>
      <c r="R57">
        <f>IFERROR(Q57*'Fee Schedule'!$H$5,0)</f>
        <v/>
      </c>
      <c r="S57">
        <f>ROUND(Q57-R57,2)</f>
        <v/>
      </c>
      <c r="T57">
        <f>LEFT($A57,3)&amp;"-"&amp;$D57</f>
        <v/>
      </c>
      <c r="U57">
        <f>COUNTIFS(Positions!$A:$A,$A57)</f>
        <v/>
      </c>
      <c r="V57">
        <f>SUM($S$19:S57)</f>
        <v/>
      </c>
      <c r="W57">
        <f>SUMPRODUCT(Positions!$F$4:$F$903,--(Positions!$A$4:$A$903=$A57))</f>
        <v/>
      </c>
      <c r="X57">
        <f>IF(S57&gt;40000,"A",IF(S57&gt;8000,"B","C"))</f>
        <v/>
      </c>
      <c r="Y57">
        <f>UPPER(TRIM(INDEX('Entity Map'!$E:$E,MATCH($A57,'Entity Map'!$A:$A,0))))</f>
        <v/>
      </c>
      <c r="Z57">
        <f>YEAR($C57)</f>
        <v/>
      </c>
      <c r="AA57">
        <f>IFERROR(VLOOKUP($A57,Overrides!$A:$C,3,FALSE),S57)</f>
        <v/>
      </c>
      <c r="AB57">
        <f>IF(AB57=S57,"","OVERRIDE")</f>
        <v/>
      </c>
      <c r="AC57">
        <f>SUMIFS(Positions!$F:$F,Positions!$E:$E,$Y57)</f>
        <v/>
      </c>
      <c r="AD57">
        <f>IFERROR(E57/AD57,0)</f>
        <v/>
      </c>
      <c r="AE57">
        <f>COUNTIF('Entity Map'!$A:$A,$A57)</f>
        <v/>
      </c>
      <c r="AF57">
        <f>MAX(Positions!$C:$C)</f>
        <v/>
      </c>
      <c r="AG57">
        <f>ROUND(E57*$B$14/10000,2)</f>
        <v/>
      </c>
      <c r="AH57">
        <f>AH57-S57</f>
        <v/>
      </c>
      <c r="AI57">
        <f>AI57*$B$15</f>
        <v/>
      </c>
      <c r="AJ57">
        <f>CONCATENATE($A57," / ",TEXT(AJ57,"0.00"))</f>
        <v/>
      </c>
    </row>
    <row r="58">
      <c r="A58" t="inlineStr">
        <is>
          <t>00040</t>
        </is>
      </c>
      <c r="B58">
        <f>INDEX('Entity Map'!$B:$B,MATCH($A58,'Entity Map'!$A:$A,0))</f>
        <v/>
      </c>
      <c r="C58">
        <f>DATE(2026,11,1)</f>
        <v/>
      </c>
      <c r="D58">
        <f>TEXT($C58,"yyyy-mm")</f>
        <v/>
      </c>
      <c r="E58">
        <f>AVERAGEIFS(Positions!$F:$F,Positions!$A:$A,$A58)</f>
        <v/>
      </c>
      <c r="F58">
        <f>E57</f>
        <v/>
      </c>
      <c r="G58">
        <f>IF($A58=$A57,F57,E58)</f>
        <v/>
      </c>
      <c r="H58">
        <f>VLOOKUP(E58,'Fee Schedule'!$C$5:$E$11,3,TRUE)</f>
        <v/>
      </c>
      <c r="I58">
        <f>VLOOKUP($A58,'Fee Schedule'!$A$5:$E$92,5,FALSE)</f>
        <v/>
      </c>
      <c r="J58">
        <f>INDEX('Entity Map'!$C:$C,MATCH($A58,'Entity Map'!$A:$A,0))</f>
        <v/>
      </c>
      <c r="K58">
        <f>INDEX('Entity Map'!$D:$D,MATCH($A58,'Entity Map'!$A:$A,0))</f>
        <v/>
      </c>
      <c r="L58">
        <f>ROUND(E58*I58/10000,2)</f>
        <v/>
      </c>
      <c r="M58">
        <f>DAY(EOMONTH($C58,0))</f>
        <v/>
      </c>
      <c r="N58">
        <f>DATEDIF($C58,EOMONTH($C58,0),"d")+1</f>
        <v/>
      </c>
      <c r="O58">
        <f>ROUND(L58*N58/M58,2)</f>
        <v/>
      </c>
      <c r="P58">
        <f>MAX(O58,'Fee Schedule'!$H$3)</f>
        <v/>
      </c>
      <c r="Q58">
        <f>MIN(P58,'Fee Schedule'!$H$4)</f>
        <v/>
      </c>
      <c r="R58">
        <f>IFERROR(Q58*'Fee Schedule'!$H$5,0)</f>
        <v/>
      </c>
      <c r="S58">
        <f>ROUND(Q58-R58,2)</f>
        <v/>
      </c>
      <c r="T58">
        <f>LEFT($A58,3)&amp;"-"&amp;$D58</f>
        <v/>
      </c>
      <c r="U58">
        <f>COUNTIFS(Positions!$A:$A,$A58)</f>
        <v/>
      </c>
      <c r="V58">
        <f>SUM($S$19:S58)</f>
        <v/>
      </c>
      <c r="W58">
        <f>SUMPRODUCT(Positions!$F$4:$F$903,--(Positions!$A$4:$A$903=$A58))</f>
        <v/>
      </c>
      <c r="X58">
        <f>IF(S58&gt;40000,"A",IF(S58&gt;8000,"B","C"))</f>
        <v/>
      </c>
      <c r="Y58">
        <f>UPPER(TRIM(INDEX('Entity Map'!$E:$E,MATCH($A58,'Entity Map'!$A:$A,0))))</f>
        <v/>
      </c>
      <c r="Z58">
        <f>YEAR($C58)</f>
        <v/>
      </c>
      <c r="AA58">
        <f>IFERROR(VLOOKUP($A58,Overrides!$A:$C,3,FALSE),S58)</f>
        <v/>
      </c>
      <c r="AB58">
        <f>IF(AB58=S58,"","OVERRIDE")</f>
        <v/>
      </c>
      <c r="AC58">
        <f>SUMIFS(Positions!$F:$F,Positions!$E:$E,$Y58)</f>
        <v/>
      </c>
      <c r="AD58">
        <f>IFERROR(E58/AD58,0)</f>
        <v/>
      </c>
      <c r="AE58">
        <f>COUNTIF('Entity Map'!$A:$A,$A58)</f>
        <v/>
      </c>
      <c r="AF58">
        <f>MAX(Positions!$C:$C)</f>
        <v/>
      </c>
      <c r="AG58">
        <f>ROUND(E58*$B$14/10000,2)</f>
        <v/>
      </c>
      <c r="AH58">
        <f>AH58-S58</f>
        <v/>
      </c>
      <c r="AI58">
        <f>AI58*$B$15</f>
        <v/>
      </c>
      <c r="AJ58">
        <f>CONCATENATE($A58," / ",TEXT(AJ58,"0.00"))</f>
        <v/>
      </c>
    </row>
    <row r="59">
      <c r="A59" t="inlineStr">
        <is>
          <t>00041</t>
        </is>
      </c>
      <c r="B59">
        <f>INDEX('Entity Map'!$B:$B,MATCH($A59,'Entity Map'!$A:$A,0))</f>
        <v/>
      </c>
      <c r="C59">
        <f>DATE(2026,11,1)</f>
        <v/>
      </c>
      <c r="D59">
        <f>TEXT($C59,"yyyy-mm")</f>
        <v/>
      </c>
      <c r="E59">
        <f>AVERAGEIFS(Positions!$F:$F,Positions!$A:$A,$A59)</f>
        <v/>
      </c>
      <c r="F59">
        <f>E58</f>
        <v/>
      </c>
      <c r="G59">
        <f>IF($A59=$A58,F58,E59)</f>
        <v/>
      </c>
      <c r="H59">
        <f>VLOOKUP(E59,'Fee Schedule'!$C$5:$E$11,3,TRUE)</f>
        <v/>
      </c>
      <c r="I59">
        <f>VLOOKUP($A59,'Fee Schedule'!$A$5:$E$92,5,FALSE)</f>
        <v/>
      </c>
      <c r="J59">
        <f>INDEX('Entity Map'!$C:$C,MATCH($A59,'Entity Map'!$A:$A,0))</f>
        <v/>
      </c>
      <c r="K59">
        <f>INDEX('Entity Map'!$D:$D,MATCH($A59,'Entity Map'!$A:$A,0))</f>
        <v/>
      </c>
      <c r="L59">
        <f>ROUND(E59*I59/10000,2)</f>
        <v/>
      </c>
      <c r="M59">
        <f>DAY(EOMONTH($C59,0))</f>
        <v/>
      </c>
      <c r="N59">
        <f>DATEDIF($C59,EOMONTH($C59,0),"d")+1</f>
        <v/>
      </c>
      <c r="O59">
        <f>ROUND(L59*N59/M59,2)</f>
        <v/>
      </c>
      <c r="P59">
        <f>MAX(O59,'Fee Schedule'!$H$3)</f>
        <v/>
      </c>
      <c r="Q59">
        <f>MIN(P59,'Fee Schedule'!$H$4)</f>
        <v/>
      </c>
      <c r="R59">
        <f>IFERROR(Q59*'Fee Schedule'!$H$5,0)</f>
        <v/>
      </c>
      <c r="S59">
        <f>ROUND(Q59-R59,2)</f>
        <v/>
      </c>
      <c r="T59">
        <f>LEFT($A59,3)&amp;"-"&amp;$D59</f>
        <v/>
      </c>
      <c r="U59">
        <f>COUNTIFS(Positions!$A:$A,$A59)</f>
        <v/>
      </c>
      <c r="V59">
        <f>SUM($S$19:S59)</f>
        <v/>
      </c>
      <c r="W59">
        <f>SUMPRODUCT(Positions!$F$4:$F$903,--(Positions!$A$4:$A$903=$A59))</f>
        <v/>
      </c>
      <c r="X59">
        <f>IF(S59&gt;40000,"A",IF(S59&gt;8000,"B","C"))</f>
        <v/>
      </c>
      <c r="Y59">
        <f>UPPER(TRIM(INDEX('Entity Map'!$E:$E,MATCH($A59,'Entity Map'!$A:$A,0))))</f>
        <v/>
      </c>
      <c r="Z59">
        <f>YEAR($C59)</f>
        <v/>
      </c>
      <c r="AA59">
        <f>IFERROR(VLOOKUP($A59,Overrides!$A:$C,3,FALSE),S59)</f>
        <v/>
      </c>
      <c r="AB59">
        <f>IF(AB59=S59,"","OVERRIDE")</f>
        <v/>
      </c>
      <c r="AC59">
        <f>SUMIFS(Positions!$F:$F,Positions!$E:$E,$Y59)</f>
        <v/>
      </c>
      <c r="AD59">
        <f>IFERROR(E59/AD59,0)</f>
        <v/>
      </c>
      <c r="AE59">
        <f>COUNTIF('Entity Map'!$A:$A,$A59)</f>
        <v/>
      </c>
      <c r="AF59">
        <f>MAX(Positions!$C:$C)</f>
        <v/>
      </c>
      <c r="AG59">
        <f>ROUND(E59*$B$14/10000,2)</f>
        <v/>
      </c>
      <c r="AH59">
        <f>AH59-S59</f>
        <v/>
      </c>
      <c r="AI59">
        <f>AI59*$B$15</f>
        <v/>
      </c>
      <c r="AJ59">
        <f>CONCATENATE($A59," / ",TEXT(AJ59,"0.00"))</f>
        <v/>
      </c>
    </row>
    <row r="60">
      <c r="A60" t="inlineStr">
        <is>
          <t>00042</t>
        </is>
      </c>
      <c r="B60">
        <f>INDEX('Entity Map'!$B:$B,MATCH($A60,'Entity Map'!$A:$A,0))</f>
        <v/>
      </c>
      <c r="C60">
        <f>DATE(2026,11,1)</f>
        <v/>
      </c>
      <c r="D60">
        <f>TEXT($C60,"yyyy-mm")</f>
        <v/>
      </c>
      <c r="E60">
        <f>AVERAGEIFS(Positions!$F:$F,Positions!$A:$A,$A60)</f>
        <v/>
      </c>
      <c r="F60">
        <f>E59</f>
        <v/>
      </c>
      <c r="G60">
        <f>IF($A60=$A59,F59,E60)</f>
        <v/>
      </c>
      <c r="H60">
        <f>VLOOKUP(E60,'Fee Schedule'!$C$5:$E$11,3,TRUE)</f>
        <v/>
      </c>
      <c r="I60">
        <f>VLOOKUP($A60,'Fee Schedule'!$A$5:$E$92,5,FALSE)</f>
        <v/>
      </c>
      <c r="J60">
        <f>INDEX('Entity Map'!$C:$C,MATCH($A60,'Entity Map'!$A:$A,0))</f>
        <v/>
      </c>
      <c r="K60">
        <f>INDEX('Entity Map'!$D:$D,MATCH($A60,'Entity Map'!$A:$A,0))</f>
        <v/>
      </c>
      <c r="L60">
        <f>ROUND(E60*I60/10000,2)</f>
        <v/>
      </c>
      <c r="M60">
        <f>DAY(EOMONTH($C60,0))</f>
        <v/>
      </c>
      <c r="N60">
        <f>DATEDIF($C60,EOMONTH($C60,0),"d")+1</f>
        <v/>
      </c>
      <c r="O60">
        <f>ROUND(L60*N60/M60,2)</f>
        <v/>
      </c>
      <c r="P60">
        <f>MAX(O60,'Fee Schedule'!$H$3)</f>
        <v/>
      </c>
      <c r="Q60">
        <f>MIN(P60,'Fee Schedule'!$H$4)</f>
        <v/>
      </c>
      <c r="R60">
        <f>IFERROR(Q60*'Fee Schedule'!$H$5,0)</f>
        <v/>
      </c>
      <c r="S60">
        <f>ROUND(Q60-R60,2)</f>
        <v/>
      </c>
      <c r="T60">
        <f>LEFT($A60,3)&amp;"-"&amp;$D60</f>
        <v/>
      </c>
      <c r="U60">
        <f>COUNTIFS(Positions!$A:$A,$A60)</f>
        <v/>
      </c>
      <c r="V60">
        <f>SUM($S$19:S60)</f>
        <v/>
      </c>
      <c r="W60">
        <f>SUMPRODUCT(Positions!$F$4:$F$903,--(Positions!$A$4:$A$903=$A60))</f>
        <v/>
      </c>
      <c r="X60">
        <f>IF(S60&gt;40000,"A",IF(S60&gt;8000,"B","C"))</f>
        <v/>
      </c>
      <c r="Y60">
        <f>UPPER(TRIM(INDEX('Entity Map'!$E:$E,MATCH($A60,'Entity Map'!$A:$A,0))))</f>
        <v/>
      </c>
      <c r="Z60">
        <f>YEAR($C60)</f>
        <v/>
      </c>
      <c r="AA60">
        <f>IFERROR(VLOOKUP($A60,Overrides!$A:$C,3,FALSE),S60)</f>
        <v/>
      </c>
      <c r="AB60">
        <f>IF(AB60=S60,"","OVERRIDE")</f>
        <v/>
      </c>
      <c r="AC60">
        <f>SUMIFS(Positions!$F:$F,Positions!$E:$E,$Y60)</f>
        <v/>
      </c>
      <c r="AD60">
        <f>IFERROR(E60/AD60,0)</f>
        <v/>
      </c>
      <c r="AE60">
        <f>COUNTIF('Entity Map'!$A:$A,$A60)</f>
        <v/>
      </c>
      <c r="AF60">
        <f>MAX(Positions!$C:$C)</f>
        <v/>
      </c>
      <c r="AG60">
        <f>ROUND(E60*$B$14/10000,2)</f>
        <v/>
      </c>
      <c r="AH60">
        <f>AH60-S60</f>
        <v/>
      </c>
      <c r="AI60">
        <f>AI60*$B$15</f>
        <v/>
      </c>
      <c r="AJ60">
        <f>CONCATENATE($A60," / ",TEXT(AJ60,"0.00"))</f>
        <v/>
      </c>
    </row>
    <row r="61">
      <c r="A61" t="inlineStr">
        <is>
          <t>00043</t>
        </is>
      </c>
      <c r="B61">
        <f>INDEX('Entity Map'!$B:$B,MATCH($A61,'Entity Map'!$A:$A,0))</f>
        <v/>
      </c>
      <c r="C61">
        <f>DATE(2026,11,1)</f>
        <v/>
      </c>
      <c r="D61">
        <f>TEXT($C61,"yyyy-mm")</f>
        <v/>
      </c>
      <c r="E61">
        <f>AVERAGEIFS(Positions!$F:$F,Positions!$A:$A,$A61)</f>
        <v/>
      </c>
      <c r="F61">
        <f>E60</f>
        <v/>
      </c>
      <c r="G61">
        <f>IF($A61=$A60,F60,E61)</f>
        <v/>
      </c>
      <c r="H61">
        <f>VLOOKUP(E61,'Fee Schedule'!$C$5:$E$11,3,TRUE)</f>
        <v/>
      </c>
      <c r="I61">
        <f>VLOOKUP($A61,'Fee Schedule'!$A$5:$E$92,5,FALSE)</f>
        <v/>
      </c>
      <c r="J61">
        <f>INDEX('Entity Map'!$C:$C,MATCH($A61,'Entity Map'!$A:$A,0))</f>
        <v/>
      </c>
      <c r="K61">
        <f>INDEX('Entity Map'!$D:$D,MATCH($A61,'Entity Map'!$A:$A,0))</f>
        <v/>
      </c>
      <c r="L61">
        <f>ROUND(E61*I61/10000,2)</f>
        <v/>
      </c>
      <c r="M61">
        <f>DAY(EOMONTH($C61,0))</f>
        <v/>
      </c>
      <c r="N61">
        <f>DATEDIF($C61,EOMONTH($C61,0),"d")+1</f>
        <v/>
      </c>
      <c r="O61">
        <f>ROUND(L61*N61/M61,2)</f>
        <v/>
      </c>
      <c r="P61">
        <f>MAX(O61,'Fee Schedule'!$H$3)</f>
        <v/>
      </c>
      <c r="Q61">
        <f>MIN(P61,'Fee Schedule'!$H$4)</f>
        <v/>
      </c>
      <c r="R61">
        <f>IFERROR(Q61*'Fee Schedule'!$H$5,0)</f>
        <v/>
      </c>
      <c r="S61">
        <f>ROUND(Q61-R61,2)</f>
        <v/>
      </c>
      <c r="T61">
        <f>LEFT($A61,3)&amp;"-"&amp;$D61</f>
        <v/>
      </c>
      <c r="U61">
        <f>COUNTIFS(Positions!$A:$A,$A61)</f>
        <v/>
      </c>
      <c r="V61">
        <f>SUM($S$19:S61)</f>
        <v/>
      </c>
      <c r="W61">
        <f>SUMPRODUCT(Positions!$F$4:$F$903,--(Positions!$A$4:$A$903=$A61))</f>
        <v/>
      </c>
      <c r="X61">
        <f>IF(S61&gt;40000,"A",IF(S61&gt;8000,"B","C"))</f>
        <v/>
      </c>
      <c r="Y61">
        <f>UPPER(TRIM(INDEX('Entity Map'!$E:$E,MATCH($A61,'Entity Map'!$A:$A,0))))</f>
        <v/>
      </c>
      <c r="Z61">
        <f>YEAR($C61)</f>
        <v/>
      </c>
      <c r="AA61">
        <f>IFERROR(VLOOKUP($A61,Overrides!$A:$C,3,FALSE),S61)</f>
        <v/>
      </c>
      <c r="AB61">
        <f>IF(AB61=S61,"","OVERRIDE")</f>
        <v/>
      </c>
      <c r="AC61">
        <f>SUMIFS(Positions!$F:$F,Positions!$E:$E,$Y61)</f>
        <v/>
      </c>
      <c r="AD61">
        <f>IFERROR(E61/AD61,0)</f>
        <v/>
      </c>
      <c r="AE61">
        <f>COUNTIF('Entity Map'!$A:$A,$A61)</f>
        <v/>
      </c>
      <c r="AF61">
        <f>MAX(Positions!$C:$C)</f>
        <v/>
      </c>
      <c r="AG61">
        <f>ROUND(E61*$B$14/10000,2)</f>
        <v/>
      </c>
      <c r="AH61">
        <f>AH61-S61</f>
        <v/>
      </c>
      <c r="AI61">
        <f>AI61*$B$15</f>
        <v/>
      </c>
      <c r="AJ61">
        <f>CONCATENATE($A61," / ",TEXT(AJ61,"0.00"))</f>
        <v/>
      </c>
    </row>
    <row r="62">
      <c r="A62" t="inlineStr">
        <is>
          <t>00044</t>
        </is>
      </c>
      <c r="B62">
        <f>INDEX('Entity Map'!$B:$B,MATCH($A62,'Entity Map'!$A:$A,0))</f>
        <v/>
      </c>
      <c r="C62">
        <f>DATE(2026,11,1)</f>
        <v/>
      </c>
      <c r="D62">
        <f>TEXT($C62,"yyyy-mm")</f>
        <v/>
      </c>
      <c r="E62">
        <f>AVERAGEIFS(Positions!$F:$F,Positions!$A:$A,$A62)</f>
        <v/>
      </c>
      <c r="F62">
        <f>E61</f>
        <v/>
      </c>
      <c r="G62">
        <f>IF($A62=$A61,F61,E62)</f>
        <v/>
      </c>
      <c r="H62">
        <f>VLOOKUP(E62,'Fee Schedule'!$C$5:$E$11,3,TRUE)</f>
        <v/>
      </c>
      <c r="I62">
        <f>VLOOKUP($A62,'Fee Schedule'!$A$5:$E$92,5,FALSE)</f>
        <v/>
      </c>
      <c r="J62">
        <f>INDEX('Entity Map'!$C:$C,MATCH($A62,'Entity Map'!$A:$A,0))</f>
        <v/>
      </c>
      <c r="K62">
        <f>INDEX('Entity Map'!$D:$D,MATCH($A62,'Entity Map'!$A:$A,0))</f>
        <v/>
      </c>
      <c r="L62">
        <f>ROUND(E62*I62/10000,2)</f>
        <v/>
      </c>
      <c r="M62">
        <f>DAY(EOMONTH($C62,0))</f>
        <v/>
      </c>
      <c r="N62">
        <f>DATEDIF($C62,EOMONTH($C62,0),"d")+1</f>
        <v/>
      </c>
      <c r="O62">
        <f>ROUND(L62*N62/M62,2)</f>
        <v/>
      </c>
      <c r="P62">
        <f>MAX(O62,'Fee Schedule'!$H$3)</f>
        <v/>
      </c>
      <c r="Q62">
        <f>MIN(P62,'Fee Schedule'!$H$4)</f>
        <v/>
      </c>
      <c r="R62">
        <f>IFERROR(Q62*'Fee Schedule'!$H$5,0)</f>
        <v/>
      </c>
      <c r="S62">
        <f>ROUND(Q62-R62,2)</f>
        <v/>
      </c>
      <c r="T62">
        <f>LEFT($A62,3)&amp;"-"&amp;$D62</f>
        <v/>
      </c>
      <c r="U62">
        <f>COUNTIFS(Positions!$A:$A,$A62)</f>
        <v/>
      </c>
      <c r="V62">
        <f>SUM($S$19:S62)</f>
        <v/>
      </c>
      <c r="W62">
        <f>SUMPRODUCT(Positions!$F$4:$F$903,--(Positions!$A$4:$A$903=$A62))</f>
        <v/>
      </c>
      <c r="X62">
        <f>IF(S62&gt;40000,"A",IF(S62&gt;8000,"B","C"))</f>
        <v/>
      </c>
      <c r="Y62">
        <f>UPPER(TRIM(INDEX('Entity Map'!$E:$E,MATCH($A62,'Entity Map'!$A:$A,0))))</f>
        <v/>
      </c>
      <c r="Z62">
        <f>YEAR($C62)</f>
        <v/>
      </c>
      <c r="AA62">
        <f>IFERROR(VLOOKUP($A62,Overrides!$A:$C,3,FALSE),S62)</f>
        <v/>
      </c>
      <c r="AB62">
        <f>IF(AB62=S62,"","OVERRIDE")</f>
        <v/>
      </c>
      <c r="AC62">
        <f>SUMIFS(Positions!$F:$F,Positions!$E:$E,$Y62)</f>
        <v/>
      </c>
      <c r="AD62">
        <f>IFERROR(E62/AD62,0)</f>
        <v/>
      </c>
      <c r="AE62">
        <f>COUNTIF('Entity Map'!$A:$A,$A62)</f>
        <v/>
      </c>
      <c r="AF62">
        <f>MAX(Positions!$C:$C)</f>
        <v/>
      </c>
      <c r="AG62">
        <f>ROUND(E62*$B$14/10000,2)</f>
        <v/>
      </c>
      <c r="AH62">
        <f>AH62-S62</f>
        <v/>
      </c>
      <c r="AI62">
        <f>AI62*$B$15</f>
        <v/>
      </c>
      <c r="AJ62">
        <f>CONCATENATE($A62," / ",TEXT(AJ62,"0.00"))</f>
        <v/>
      </c>
    </row>
    <row r="63">
      <c r="A63" t="inlineStr">
        <is>
          <t>00045</t>
        </is>
      </c>
      <c r="B63">
        <f>INDEX('Entity Map'!$B:$B,MATCH($A63,'Entity Map'!$A:$A,0))</f>
        <v/>
      </c>
      <c r="C63">
        <f>DATE(2026,11,1)</f>
        <v/>
      </c>
      <c r="D63">
        <f>TEXT($C63,"yyyy-mm")</f>
        <v/>
      </c>
      <c r="E63">
        <f>AVERAGEIFS(Positions!$F:$F,Positions!$A:$A,$A63)</f>
        <v/>
      </c>
      <c r="F63">
        <f>E62</f>
        <v/>
      </c>
      <c r="G63">
        <f>IF($A63=$A62,F62,E63)</f>
        <v/>
      </c>
      <c r="H63">
        <f>VLOOKUP(E63,'Fee Schedule'!$C$5:$E$11,3,TRUE)</f>
        <v/>
      </c>
      <c r="I63">
        <f>VLOOKUP($A63,'Fee Schedule'!$A$5:$E$92,5,FALSE)</f>
        <v/>
      </c>
      <c r="J63">
        <f>INDEX('Entity Map'!$C:$C,MATCH($A63,'Entity Map'!$A:$A,0))</f>
        <v/>
      </c>
      <c r="K63">
        <f>INDEX('Entity Map'!$D:$D,MATCH($A63,'Entity Map'!$A:$A,0))</f>
        <v/>
      </c>
      <c r="L63">
        <f>ROUND(E63*I63/10000,2)</f>
        <v/>
      </c>
      <c r="M63">
        <f>DAY(EOMONTH($C63,0))</f>
        <v/>
      </c>
      <c r="N63">
        <f>DATEDIF($C63,EOMONTH($C63,0),"d")+1</f>
        <v/>
      </c>
      <c r="O63">
        <f>ROUND(L63*N63/M63,2)</f>
        <v/>
      </c>
      <c r="P63">
        <f>MAX(O63,'Fee Schedule'!$H$3)</f>
        <v/>
      </c>
      <c r="Q63">
        <f>MIN(P63,'Fee Schedule'!$H$4)</f>
        <v/>
      </c>
      <c r="R63">
        <f>IFERROR(Q63*'Fee Schedule'!$H$5,0)</f>
        <v/>
      </c>
      <c r="S63">
        <f>ROUND(Q63-R63,2)</f>
        <v/>
      </c>
      <c r="T63">
        <f>LEFT($A63,3)&amp;"-"&amp;$D63</f>
        <v/>
      </c>
      <c r="U63">
        <f>COUNTIFS(Positions!$A:$A,$A63)</f>
        <v/>
      </c>
      <c r="V63">
        <f>SUM($S$19:S63)</f>
        <v/>
      </c>
      <c r="W63">
        <f>SUMPRODUCT(Positions!$F$4:$F$903,--(Positions!$A$4:$A$903=$A63))</f>
        <v/>
      </c>
      <c r="X63">
        <f>IF(S63&gt;40000,"A",IF(S63&gt;8000,"B","C"))</f>
        <v/>
      </c>
      <c r="Y63">
        <f>UPPER(TRIM(INDEX('Entity Map'!$E:$E,MATCH($A63,'Entity Map'!$A:$A,0))))</f>
        <v/>
      </c>
      <c r="Z63">
        <f>YEAR($C63)</f>
        <v/>
      </c>
      <c r="AA63">
        <f>IFERROR(VLOOKUP($A63,Overrides!$A:$C,3,FALSE),S63)</f>
        <v/>
      </c>
      <c r="AB63">
        <f>IF(AB63=S63,"","OVERRIDE")</f>
        <v/>
      </c>
      <c r="AC63">
        <f>SUMIFS(Positions!$F:$F,Positions!$E:$E,$Y63)</f>
        <v/>
      </c>
      <c r="AD63">
        <f>IFERROR(E63/AD63,0)</f>
        <v/>
      </c>
      <c r="AE63">
        <f>COUNTIF('Entity Map'!$A:$A,$A63)</f>
        <v/>
      </c>
      <c r="AF63">
        <f>MAX(Positions!$C:$C)</f>
        <v/>
      </c>
      <c r="AG63">
        <f>ROUND(E63*$B$14/10000,2)</f>
        <v/>
      </c>
      <c r="AH63">
        <f>AH63-S63</f>
        <v/>
      </c>
      <c r="AI63">
        <f>AI63*$B$15</f>
        <v/>
      </c>
      <c r="AJ63">
        <f>CONCATENATE($A63," / ",TEXT(AJ63,"0.00"))</f>
        <v/>
      </c>
    </row>
    <row r="64">
      <c r="A64" t="inlineStr">
        <is>
          <t>00046</t>
        </is>
      </c>
      <c r="B64">
        <f>INDEX('Entity Map'!$B:$B,MATCH($A64,'Entity Map'!$A:$A,0))</f>
        <v/>
      </c>
      <c r="C64">
        <f>DATE(2026,11,1)</f>
        <v/>
      </c>
      <c r="D64">
        <f>TEXT($C64,"yyyy-mm")</f>
        <v/>
      </c>
      <c r="E64">
        <f>AVERAGEIFS(Positions!$F:$F,Positions!$A:$A,$A64)</f>
        <v/>
      </c>
      <c r="F64">
        <f>E63</f>
        <v/>
      </c>
      <c r="G64">
        <f>IF($A64=$A63,F63,E64)</f>
        <v/>
      </c>
      <c r="H64">
        <f>VLOOKUP(E64,'Fee Schedule'!$C$5:$E$11,3,TRUE)</f>
        <v/>
      </c>
      <c r="I64">
        <f>VLOOKUP($A64,'Fee Schedule'!$A$5:$E$92,5,FALSE)</f>
        <v/>
      </c>
      <c r="J64">
        <f>INDEX('Entity Map'!$C:$C,MATCH($A64,'Entity Map'!$A:$A,0))</f>
        <v/>
      </c>
      <c r="K64">
        <f>INDEX('Entity Map'!$D:$D,MATCH($A64,'Entity Map'!$A:$A,0))</f>
        <v/>
      </c>
      <c r="L64">
        <f>ROUND(E64*I64/10000,2)</f>
        <v/>
      </c>
      <c r="M64">
        <f>DAY(EOMONTH($C64,0))</f>
        <v/>
      </c>
      <c r="N64">
        <f>DATEDIF($C64,EOMONTH($C64,0),"d")+1</f>
        <v/>
      </c>
      <c r="O64">
        <f>ROUND(L64*N64/M64,2)</f>
        <v/>
      </c>
      <c r="P64">
        <f>MAX(O64,'Fee Schedule'!$H$3)</f>
        <v/>
      </c>
      <c r="Q64">
        <f>MIN(P64,'Fee Schedule'!$H$4)</f>
        <v/>
      </c>
      <c r="R64">
        <f>IFERROR(Q64*'Fee Schedule'!$H$5,0)</f>
        <v/>
      </c>
      <c r="S64">
        <f>ROUND(Q64-R64,2)</f>
        <v/>
      </c>
      <c r="T64">
        <f>LEFT($A64,3)&amp;"-"&amp;$D64</f>
        <v/>
      </c>
      <c r="U64">
        <f>COUNTIFS(Positions!$A:$A,$A64)</f>
        <v/>
      </c>
      <c r="V64">
        <f>SUM($S$19:S64)</f>
        <v/>
      </c>
      <c r="W64">
        <f>SUMPRODUCT(Positions!$F$4:$F$903,--(Positions!$A$4:$A$903=$A64))</f>
        <v/>
      </c>
      <c r="X64">
        <f>IF(S64&gt;40000,"A",IF(S64&gt;8000,"B","C"))</f>
        <v/>
      </c>
      <c r="Y64">
        <f>UPPER(TRIM(INDEX('Entity Map'!$E:$E,MATCH($A64,'Entity Map'!$A:$A,0))))</f>
        <v/>
      </c>
      <c r="Z64">
        <f>YEAR($C64)</f>
        <v/>
      </c>
      <c r="AA64">
        <f>IFERROR(VLOOKUP($A64,Overrides!$A:$C,3,FALSE),S64)</f>
        <v/>
      </c>
      <c r="AB64">
        <f>IF(AB64=S64,"","OVERRIDE")</f>
        <v/>
      </c>
      <c r="AC64">
        <f>SUMIFS(Positions!$F:$F,Positions!$E:$E,$Y64)</f>
        <v/>
      </c>
      <c r="AD64">
        <f>IFERROR(E64/AD64,0)</f>
        <v/>
      </c>
      <c r="AE64">
        <f>COUNTIF('Entity Map'!$A:$A,$A64)</f>
        <v/>
      </c>
      <c r="AF64">
        <f>MAX(Positions!$C:$C)</f>
        <v/>
      </c>
      <c r="AG64">
        <f>ROUND(E64*$B$14/10000,2)</f>
        <v/>
      </c>
      <c r="AH64">
        <f>AH64-S64</f>
        <v/>
      </c>
      <c r="AI64">
        <f>AI64*$B$15</f>
        <v/>
      </c>
      <c r="AJ64">
        <f>CONCATENATE($A64," / ",TEXT(AJ64,"0.00"))</f>
        <v/>
      </c>
    </row>
    <row r="65">
      <c r="A65" t="inlineStr">
        <is>
          <t>00047</t>
        </is>
      </c>
      <c r="B65">
        <f>INDEX('Entity Map'!$B:$B,MATCH($A65,'Entity Map'!$A:$A,0))</f>
        <v/>
      </c>
      <c r="C65">
        <f>DATE(2026,11,1)</f>
        <v/>
      </c>
      <c r="D65">
        <f>TEXT($C65,"yyyy-mm")</f>
        <v/>
      </c>
      <c r="E65">
        <f>AVERAGEIFS(Positions!$F:$F,Positions!$A:$A,$A65)</f>
        <v/>
      </c>
      <c r="F65">
        <f>E64</f>
        <v/>
      </c>
      <c r="G65">
        <f>IF($A65=$A64,F64,E65)</f>
        <v/>
      </c>
      <c r="H65">
        <f>VLOOKUP(E65,'Fee Schedule'!$C$5:$E$11,3,TRUE)</f>
        <v/>
      </c>
      <c r="I65">
        <f>VLOOKUP($A65,'Fee Schedule'!$A$5:$E$92,5,FALSE)</f>
        <v/>
      </c>
      <c r="J65">
        <f>INDEX('Entity Map'!$C:$C,MATCH($A65,'Entity Map'!$A:$A,0))</f>
        <v/>
      </c>
      <c r="K65">
        <f>INDEX('Entity Map'!$D:$D,MATCH($A65,'Entity Map'!$A:$A,0))</f>
        <v/>
      </c>
      <c r="L65">
        <f>ROUND(E65*I65/10000,2)</f>
        <v/>
      </c>
      <c r="M65">
        <f>DAY(EOMONTH($C65,0))</f>
        <v/>
      </c>
      <c r="N65">
        <f>DATEDIF($C65,EOMONTH($C65,0),"d")+1</f>
        <v/>
      </c>
      <c r="O65">
        <f>ROUND(L65*N65/M65,2)</f>
        <v/>
      </c>
      <c r="P65">
        <f>MAX(O65,'Fee Schedule'!$H$3)</f>
        <v/>
      </c>
      <c r="Q65">
        <f>MIN(P65,'Fee Schedule'!$H$4)</f>
        <v/>
      </c>
      <c r="R65">
        <f>IFERROR(Q65*'Fee Schedule'!$H$5,0)</f>
        <v/>
      </c>
      <c r="S65">
        <f>ROUND(Q65-R65,2)</f>
        <v/>
      </c>
      <c r="T65">
        <f>LEFT($A65,3)&amp;"-"&amp;$D65</f>
        <v/>
      </c>
      <c r="U65">
        <f>COUNTIFS(Positions!$A:$A,$A65)</f>
        <v/>
      </c>
      <c r="V65">
        <f>SUM($S$19:S65)</f>
        <v/>
      </c>
      <c r="W65">
        <f>SUMPRODUCT(Positions!$F$4:$F$903,--(Positions!$A$4:$A$903=$A65))</f>
        <v/>
      </c>
      <c r="X65">
        <f>IF(S65&gt;40000,"A",IF(S65&gt;8000,"B","C"))</f>
        <v/>
      </c>
      <c r="Y65">
        <f>UPPER(TRIM(INDEX('Entity Map'!$E:$E,MATCH($A65,'Entity Map'!$A:$A,0))))</f>
        <v/>
      </c>
      <c r="Z65">
        <f>YEAR($C65)</f>
        <v/>
      </c>
      <c r="AA65">
        <f>IFERROR(VLOOKUP($A65,Overrides!$A:$C,3,FALSE),S65)</f>
        <v/>
      </c>
      <c r="AB65">
        <f>IF(AB65=S65,"","OVERRIDE")</f>
        <v/>
      </c>
      <c r="AC65">
        <f>SUMIFS(Positions!$F:$F,Positions!$E:$E,$Y65)</f>
        <v/>
      </c>
      <c r="AD65">
        <f>IFERROR(E65/AD65,0)</f>
        <v/>
      </c>
      <c r="AE65">
        <f>COUNTIF('Entity Map'!$A:$A,$A65)</f>
        <v/>
      </c>
      <c r="AF65">
        <f>MAX(Positions!$C:$C)</f>
        <v/>
      </c>
      <c r="AG65">
        <f>ROUND(E65*$B$14/10000,2)</f>
        <v/>
      </c>
      <c r="AH65">
        <f>AH65-S65</f>
        <v/>
      </c>
      <c r="AI65">
        <f>AI65*$B$15</f>
        <v/>
      </c>
      <c r="AJ65">
        <f>CONCATENATE($A65," / ",TEXT(AJ65,"0.00"))</f>
        <v/>
      </c>
    </row>
    <row r="66">
      <c r="A66" t="inlineStr">
        <is>
          <t>00048</t>
        </is>
      </c>
      <c r="B66">
        <f>INDEX('Entity Map'!$B:$B,MATCH($A66,'Entity Map'!$A:$A,0))</f>
        <v/>
      </c>
      <c r="C66">
        <f>DATE(2026,11,1)</f>
        <v/>
      </c>
      <c r="D66">
        <f>TEXT($C66,"yyyy-mm")</f>
        <v/>
      </c>
      <c r="E66">
        <f>AVERAGEIFS(Positions!$F:$F,Positions!$A:$A,$A66)</f>
        <v/>
      </c>
      <c r="F66">
        <f>E65</f>
        <v/>
      </c>
      <c r="G66">
        <f>IF($A66=$A65,F65,E66)</f>
        <v/>
      </c>
      <c r="H66">
        <f>VLOOKUP(E66,'Fee Schedule'!$C$5:$E$11,3,TRUE)</f>
        <v/>
      </c>
      <c r="I66">
        <f>VLOOKUP($A66,'Fee Schedule'!$A$5:$E$92,5,FALSE)</f>
        <v/>
      </c>
      <c r="J66">
        <f>INDEX('Entity Map'!$C:$C,MATCH($A66,'Entity Map'!$A:$A,0))</f>
        <v/>
      </c>
      <c r="K66">
        <f>INDEX('Entity Map'!$D:$D,MATCH($A66,'Entity Map'!$A:$A,0))</f>
        <v/>
      </c>
      <c r="L66">
        <f>ROUND(E66*I66/10000,2)</f>
        <v/>
      </c>
      <c r="M66">
        <f>DAY(EOMONTH($C66,0))</f>
        <v/>
      </c>
      <c r="N66">
        <f>DATEDIF($C66,EOMONTH($C66,0),"d")+1</f>
        <v/>
      </c>
      <c r="O66">
        <f>ROUND(L66*N66/M66,2)</f>
        <v/>
      </c>
      <c r="P66">
        <f>MAX(O66,'Fee Schedule'!$H$3)</f>
        <v/>
      </c>
      <c r="Q66">
        <f>MIN(P66,'Fee Schedule'!$H$4)</f>
        <v/>
      </c>
      <c r="R66">
        <f>IFERROR(Q66*'Fee Schedule'!$H$5,0)</f>
        <v/>
      </c>
      <c r="S66">
        <f>ROUND(Q66-R66,2)</f>
        <v/>
      </c>
      <c r="T66">
        <f>LEFT($A66,3)&amp;"-"&amp;$D66</f>
        <v/>
      </c>
      <c r="U66">
        <f>COUNTIFS(Positions!$A:$A,$A66)</f>
        <v/>
      </c>
      <c r="V66">
        <f>SUM($S$19:S66)</f>
        <v/>
      </c>
      <c r="W66">
        <f>SUMPRODUCT(Positions!$F$4:$F$903,--(Positions!$A$4:$A$903=$A66))</f>
        <v/>
      </c>
      <c r="X66">
        <f>IF(S66&gt;40000,"A",IF(S66&gt;8000,"B","C"))</f>
        <v/>
      </c>
      <c r="Y66">
        <f>UPPER(TRIM(INDEX('Entity Map'!$E:$E,MATCH($A66,'Entity Map'!$A:$A,0))))</f>
        <v/>
      </c>
      <c r="Z66">
        <f>YEAR($C66)</f>
        <v/>
      </c>
      <c r="AA66">
        <f>IFERROR(VLOOKUP($A66,Overrides!$A:$C,3,FALSE),S66)</f>
        <v/>
      </c>
      <c r="AB66">
        <f>IF(AB66=S66,"","OVERRIDE")</f>
        <v/>
      </c>
      <c r="AC66">
        <f>SUMIFS(Positions!$F:$F,Positions!$E:$E,$Y66)</f>
        <v/>
      </c>
      <c r="AD66">
        <f>IFERROR(E66/AD66,0)</f>
        <v/>
      </c>
      <c r="AE66">
        <f>COUNTIF('Entity Map'!$A:$A,$A66)</f>
        <v/>
      </c>
      <c r="AF66">
        <f>MAX(Positions!$C:$C)</f>
        <v/>
      </c>
      <c r="AG66">
        <f>ROUND(E66*$B$14/10000,2)</f>
        <v/>
      </c>
      <c r="AH66">
        <f>AH66-S66</f>
        <v/>
      </c>
      <c r="AI66">
        <f>AI66*$B$15</f>
        <v/>
      </c>
      <c r="AJ66">
        <f>CONCATENATE($A66," / ",TEXT(AJ66,"0.00"))</f>
        <v/>
      </c>
    </row>
    <row r="67">
      <c r="A67" t="inlineStr">
        <is>
          <t>00049</t>
        </is>
      </c>
      <c r="B67">
        <f>INDEX('Entity Map'!$B:$B,MATCH($A67,'Entity Map'!$A:$A,0))</f>
        <v/>
      </c>
      <c r="C67">
        <f>DATE(2026,11,1)</f>
        <v/>
      </c>
      <c r="D67">
        <f>TEXT($C67,"yyyy-mm")</f>
        <v/>
      </c>
      <c r="E67">
        <f>AVERAGEIFS(Positions!$F:$F,Positions!$A:$A,$A67)</f>
        <v/>
      </c>
      <c r="F67">
        <f>E66</f>
        <v/>
      </c>
      <c r="G67">
        <f>IF($A67=$A66,F66,E67)</f>
        <v/>
      </c>
      <c r="H67">
        <f>VLOOKUP(E67,'Fee Schedule'!$C$5:$E$11,3,TRUE)</f>
        <v/>
      </c>
      <c r="I67">
        <f>VLOOKUP($A67,'Fee Schedule'!$A$5:$E$92,5,FALSE)</f>
        <v/>
      </c>
      <c r="J67">
        <f>INDEX('Entity Map'!$C:$C,MATCH($A67,'Entity Map'!$A:$A,0))</f>
        <v/>
      </c>
      <c r="K67">
        <f>INDEX('Entity Map'!$D:$D,MATCH($A67,'Entity Map'!$A:$A,0))</f>
        <v/>
      </c>
      <c r="L67">
        <f>ROUND(E67*I67/10000,2)</f>
        <v/>
      </c>
      <c r="M67">
        <f>DAY(EOMONTH($C67,0))</f>
        <v/>
      </c>
      <c r="N67">
        <f>DATEDIF($C67,EOMONTH($C67,0),"d")+1</f>
        <v/>
      </c>
      <c r="O67">
        <f>ROUND(L67*N67/M67,2)</f>
        <v/>
      </c>
      <c r="P67">
        <f>MAX(O67,'Fee Schedule'!$H$3)</f>
        <v/>
      </c>
      <c r="Q67">
        <f>MIN(P67,'Fee Schedule'!$H$4)</f>
        <v/>
      </c>
      <c r="R67">
        <f>IFERROR(Q67*'Fee Schedule'!$H$5,0)</f>
        <v/>
      </c>
      <c r="S67">
        <f>ROUND(Q67-R67,2)</f>
        <v/>
      </c>
      <c r="T67">
        <f>LEFT($A67,3)&amp;"-"&amp;$D67</f>
        <v/>
      </c>
      <c r="U67">
        <f>COUNTIFS(Positions!$A:$A,$A67)</f>
        <v/>
      </c>
      <c r="V67">
        <f>SUM($S$19:S67)</f>
        <v/>
      </c>
      <c r="W67">
        <f>SUMPRODUCT(Positions!$F$4:$F$903,--(Positions!$A$4:$A$903=$A67))</f>
        <v/>
      </c>
      <c r="X67">
        <f>IF(S67&gt;40000,"A",IF(S67&gt;8000,"B","C"))</f>
        <v/>
      </c>
      <c r="Y67">
        <f>UPPER(TRIM(INDEX('Entity Map'!$E:$E,MATCH($A67,'Entity Map'!$A:$A,0))))</f>
        <v/>
      </c>
      <c r="Z67">
        <f>YEAR($C67)</f>
        <v/>
      </c>
      <c r="AA67">
        <f>IFERROR(VLOOKUP($A67,Overrides!$A:$C,3,FALSE),S67)</f>
        <v/>
      </c>
      <c r="AB67">
        <f>IF(AB67=S67,"","OVERRIDE")</f>
        <v/>
      </c>
      <c r="AC67">
        <f>SUMIFS(Positions!$F:$F,Positions!$E:$E,$Y67)</f>
        <v/>
      </c>
      <c r="AD67">
        <f>IFERROR(E67/AD67,0)</f>
        <v/>
      </c>
      <c r="AE67">
        <f>COUNTIF('Entity Map'!$A:$A,$A67)</f>
        <v/>
      </c>
      <c r="AF67">
        <f>MAX(Positions!$C:$C)</f>
        <v/>
      </c>
      <c r="AG67">
        <f>ROUND(E67*$B$14/10000,2)</f>
        <v/>
      </c>
      <c r="AH67">
        <f>AH67-S67</f>
        <v/>
      </c>
      <c r="AI67">
        <f>AI67*$B$15</f>
        <v/>
      </c>
      <c r="AJ67">
        <f>CONCATENATE($A67," / ",TEXT(AJ67,"0.00"))</f>
        <v/>
      </c>
    </row>
    <row r="68">
      <c r="A68" t="inlineStr">
        <is>
          <t>00050</t>
        </is>
      </c>
      <c r="B68">
        <f>INDEX('Entity Map'!$B:$B,MATCH($A68,'Entity Map'!$A:$A,0))</f>
        <v/>
      </c>
      <c r="C68">
        <f>DATE(2026,11,1)</f>
        <v/>
      </c>
      <c r="D68">
        <f>TEXT($C68,"yyyy-mm")</f>
        <v/>
      </c>
      <c r="E68">
        <f>AVERAGEIFS(Positions!$F:$F,Positions!$A:$A,$A68)</f>
        <v/>
      </c>
      <c r="F68">
        <f>E67</f>
        <v/>
      </c>
      <c r="G68">
        <f>IF($A68=$A67,F67,E68)</f>
        <v/>
      </c>
      <c r="H68">
        <f>VLOOKUP(E68,'Fee Schedule'!$C$5:$E$11,3,TRUE)</f>
        <v/>
      </c>
      <c r="I68">
        <f>VLOOKUP($A68,'Fee Schedule'!$A$5:$E$92,5,FALSE)</f>
        <v/>
      </c>
      <c r="J68">
        <f>INDEX('Entity Map'!$C:$C,MATCH($A68,'Entity Map'!$A:$A,0))</f>
        <v/>
      </c>
      <c r="K68">
        <f>INDEX('Entity Map'!$D:$D,MATCH($A68,'Entity Map'!$A:$A,0))</f>
        <v/>
      </c>
      <c r="L68">
        <f>ROUND(E68*I68/10000,2)</f>
        <v/>
      </c>
      <c r="M68">
        <f>DAY(EOMONTH($C68,0))</f>
        <v/>
      </c>
      <c r="N68">
        <f>DATEDIF($C68,EOMONTH($C68,0),"d")+1</f>
        <v/>
      </c>
      <c r="O68">
        <f>ROUND(L68*N68/M68,2)</f>
        <v/>
      </c>
      <c r="P68">
        <f>MAX(O68,'Fee Schedule'!$H$3)</f>
        <v/>
      </c>
      <c r="Q68">
        <f>MIN(P68,'Fee Schedule'!$H$4)</f>
        <v/>
      </c>
      <c r="R68">
        <f>IFERROR(Q68*'Fee Schedule'!$H$5,0)</f>
        <v/>
      </c>
      <c r="S68">
        <f>ROUND(Q68-R68,2)</f>
        <v/>
      </c>
      <c r="T68">
        <f>LEFT($A68,3)&amp;"-"&amp;$D68</f>
        <v/>
      </c>
      <c r="U68">
        <f>COUNTIFS(Positions!$A:$A,$A68)</f>
        <v/>
      </c>
      <c r="V68">
        <f>SUM($S$19:S68)</f>
        <v/>
      </c>
      <c r="W68">
        <f>SUMPRODUCT(Positions!$F$4:$F$903,--(Positions!$A$4:$A$903=$A68))</f>
        <v/>
      </c>
      <c r="X68">
        <f>IF(S68&gt;40000,"A",IF(S68&gt;8000,"B","C"))</f>
        <v/>
      </c>
      <c r="Y68">
        <f>UPPER(TRIM(INDEX('Entity Map'!$E:$E,MATCH($A68,'Entity Map'!$A:$A,0))))</f>
        <v/>
      </c>
      <c r="Z68">
        <f>YEAR($C68)</f>
        <v/>
      </c>
      <c r="AA68">
        <f>IFERROR(VLOOKUP($A68,Overrides!$A:$C,3,FALSE),S68)</f>
        <v/>
      </c>
      <c r="AB68">
        <f>IF(AB68=S68,"","OVERRIDE")</f>
        <v/>
      </c>
      <c r="AC68">
        <f>SUMIFS(Positions!$F:$F,Positions!$E:$E,$Y68)</f>
        <v/>
      </c>
      <c r="AD68">
        <f>IFERROR(E68/AD68,0)</f>
        <v/>
      </c>
      <c r="AE68">
        <f>COUNTIF('Entity Map'!$A:$A,$A68)</f>
        <v/>
      </c>
      <c r="AF68">
        <f>MAX(Positions!$C:$C)</f>
        <v/>
      </c>
      <c r="AG68">
        <f>ROUND(E68*$B$14/10000,2)</f>
        <v/>
      </c>
      <c r="AH68">
        <f>AH68-S68</f>
        <v/>
      </c>
      <c r="AI68">
        <f>AI68*$B$15</f>
        <v/>
      </c>
      <c r="AJ68">
        <f>CONCATENATE($A68," / ",TEXT(AJ68,"0.00"))</f>
        <v/>
      </c>
    </row>
    <row r="69">
      <c r="A69" t="inlineStr">
        <is>
          <t>00051</t>
        </is>
      </c>
      <c r="B69">
        <f>INDEX('Entity Map'!$B:$B,MATCH($A69,'Entity Map'!$A:$A,0))</f>
        <v/>
      </c>
      <c r="C69">
        <f>DATE(2026,11,1)</f>
        <v/>
      </c>
      <c r="D69">
        <f>TEXT($C69,"yyyy-mm")</f>
        <v/>
      </c>
      <c r="E69">
        <f>AVERAGEIFS(Positions!$F:$F,Positions!$A:$A,$A69)</f>
        <v/>
      </c>
      <c r="F69">
        <f>E68</f>
        <v/>
      </c>
      <c r="G69">
        <f>IF($A69=$A68,F68,E69)</f>
        <v/>
      </c>
      <c r="H69">
        <f>VLOOKUP(E69,'Fee Schedule'!$C$5:$E$11,3,TRUE)</f>
        <v/>
      </c>
      <c r="I69">
        <f>VLOOKUP($A69,'Fee Schedule'!$A$5:$E$92,5,FALSE)</f>
        <v/>
      </c>
      <c r="J69">
        <f>INDEX('Entity Map'!$C:$C,MATCH($A69,'Entity Map'!$A:$A,0))</f>
        <v/>
      </c>
      <c r="K69">
        <f>INDEX('Entity Map'!$D:$D,MATCH($A69,'Entity Map'!$A:$A,0))</f>
        <v/>
      </c>
      <c r="L69">
        <f>ROUND(E69*I69/10000,2)</f>
        <v/>
      </c>
      <c r="M69">
        <f>DAY(EOMONTH($C69,0))</f>
        <v/>
      </c>
      <c r="N69">
        <f>DATEDIF($C69,EOMONTH($C69,0),"d")+1</f>
        <v/>
      </c>
      <c r="O69">
        <f>ROUND(L69*N69/M69,2)</f>
        <v/>
      </c>
      <c r="P69">
        <f>MAX(O69,'Fee Schedule'!$H$3)</f>
        <v/>
      </c>
      <c r="Q69">
        <f>MIN(P69,'Fee Schedule'!$H$4)</f>
        <v/>
      </c>
      <c r="R69">
        <f>IFERROR(Q69*'Fee Schedule'!$H$5,0)</f>
        <v/>
      </c>
      <c r="S69">
        <f>ROUND(Q69-R69,2)</f>
        <v/>
      </c>
      <c r="T69">
        <f>LEFT($A69,3)&amp;"-"&amp;$D69</f>
        <v/>
      </c>
      <c r="U69">
        <f>COUNTIFS(Positions!$A:$A,$A69)</f>
        <v/>
      </c>
      <c r="V69">
        <f>SUM($S$19:S69)</f>
        <v/>
      </c>
      <c r="W69">
        <f>SUMPRODUCT(Positions!$F$4:$F$903,--(Positions!$A$4:$A$903=$A69))</f>
        <v/>
      </c>
      <c r="X69">
        <f>IF(S69&gt;40000,"A",IF(S69&gt;8000,"B","C"))</f>
        <v/>
      </c>
      <c r="Y69">
        <f>UPPER(TRIM(INDEX('Entity Map'!$E:$E,MATCH($A69,'Entity Map'!$A:$A,0))))</f>
        <v/>
      </c>
      <c r="Z69">
        <f>YEAR($C69)</f>
        <v/>
      </c>
      <c r="AA69">
        <f>IFERROR(VLOOKUP($A69,Overrides!$A:$C,3,FALSE),S69)</f>
        <v/>
      </c>
      <c r="AB69">
        <f>IF(AB69=S69,"","OVERRIDE")</f>
        <v/>
      </c>
      <c r="AC69">
        <f>SUMIFS(Positions!$F:$F,Positions!$E:$E,$Y69)</f>
        <v/>
      </c>
      <c r="AD69">
        <f>IFERROR(E69/AD69,0)</f>
        <v/>
      </c>
      <c r="AE69">
        <f>COUNTIF('Entity Map'!$A:$A,$A69)</f>
        <v/>
      </c>
      <c r="AF69">
        <f>MAX(Positions!$C:$C)</f>
        <v/>
      </c>
      <c r="AG69">
        <f>ROUND(E69*$B$14/10000,2)</f>
        <v/>
      </c>
      <c r="AH69">
        <f>AH69-S69</f>
        <v/>
      </c>
      <c r="AI69">
        <f>AI69*$B$15</f>
        <v/>
      </c>
      <c r="AJ69">
        <f>CONCATENATE($A69," / ",TEXT(AJ69,"0.00"))</f>
        <v/>
      </c>
    </row>
    <row r="70">
      <c r="A70" t="inlineStr">
        <is>
          <t>00052</t>
        </is>
      </c>
      <c r="B70">
        <f>INDEX('Entity Map'!$B:$B,MATCH($A70,'Entity Map'!$A:$A,0))</f>
        <v/>
      </c>
      <c r="C70">
        <f>DATE(2026,11,1)</f>
        <v/>
      </c>
      <c r="D70">
        <f>TEXT($C70,"yyyy-mm")</f>
        <v/>
      </c>
      <c r="E70">
        <f>AVERAGEIFS(Positions!$F:$F,Positions!$A:$A,$A70)</f>
        <v/>
      </c>
      <c r="F70">
        <f>E69</f>
        <v/>
      </c>
      <c r="G70">
        <f>IF($A70=$A69,F69,E70)</f>
        <v/>
      </c>
      <c r="H70">
        <f>VLOOKUP(E70,'Fee Schedule'!$C$5:$E$11,3,TRUE)</f>
        <v/>
      </c>
      <c r="I70">
        <f>VLOOKUP($A70,'Fee Schedule'!$A$5:$E$92,5,FALSE)</f>
        <v/>
      </c>
      <c r="J70">
        <f>INDEX('Entity Map'!$C:$C,MATCH($A70,'Entity Map'!$A:$A,0))</f>
        <v/>
      </c>
      <c r="K70">
        <f>INDEX('Entity Map'!$D:$D,MATCH($A70,'Entity Map'!$A:$A,0))</f>
        <v/>
      </c>
      <c r="L70">
        <f>ROUND(E70*I70/10000,2)</f>
        <v/>
      </c>
      <c r="M70">
        <f>DAY(EOMONTH($C70,0))</f>
        <v/>
      </c>
      <c r="N70">
        <f>DATEDIF($C70,EOMONTH($C70,0),"d")+1</f>
        <v/>
      </c>
      <c r="O70">
        <f>ROUND(L70*N70/M70,2)</f>
        <v/>
      </c>
      <c r="P70">
        <f>MAX(O70,'Fee Schedule'!$H$3)</f>
        <v/>
      </c>
      <c r="Q70">
        <f>MIN(P70,'Fee Schedule'!$H$4)</f>
        <v/>
      </c>
      <c r="R70">
        <f>IFERROR(Q70*'Fee Schedule'!$H$5,0)</f>
        <v/>
      </c>
      <c r="S70">
        <f>ROUND(Q70-R70,2)</f>
        <v/>
      </c>
      <c r="T70">
        <f>LEFT($A70,3)&amp;"-"&amp;$D70</f>
        <v/>
      </c>
      <c r="U70">
        <f>COUNTIFS(Positions!$A:$A,$A70)</f>
        <v/>
      </c>
      <c r="V70">
        <f>SUM($S$19:S70)</f>
        <v/>
      </c>
      <c r="W70">
        <f>SUMPRODUCT(Positions!$F$4:$F$903,--(Positions!$A$4:$A$903=$A70))</f>
        <v/>
      </c>
      <c r="X70">
        <f>IF(S70&gt;40000,"A",IF(S70&gt;8000,"B","C"))</f>
        <v/>
      </c>
      <c r="Y70">
        <f>UPPER(TRIM(INDEX('Entity Map'!$E:$E,MATCH($A70,'Entity Map'!$A:$A,0))))</f>
        <v/>
      </c>
      <c r="Z70">
        <f>YEAR($C70)</f>
        <v/>
      </c>
      <c r="AA70">
        <f>IFERROR(VLOOKUP($A70,Overrides!$A:$C,3,FALSE),S70)</f>
        <v/>
      </c>
      <c r="AB70">
        <f>IF(AB70=S70,"","OVERRIDE")</f>
        <v/>
      </c>
      <c r="AC70">
        <f>SUMIFS(Positions!$F:$F,Positions!$E:$E,$Y70)</f>
        <v/>
      </c>
      <c r="AD70">
        <f>IFERROR(E70/AD70,0)</f>
        <v/>
      </c>
      <c r="AE70">
        <f>COUNTIF('Entity Map'!$A:$A,$A70)</f>
        <v/>
      </c>
      <c r="AF70">
        <f>MAX(Positions!$C:$C)</f>
        <v/>
      </c>
      <c r="AG70">
        <f>ROUND(E70*$B$14/10000,2)</f>
        <v/>
      </c>
      <c r="AH70">
        <f>AH70-S70</f>
        <v/>
      </c>
      <c r="AI70">
        <f>AI70*$B$15</f>
        <v/>
      </c>
      <c r="AJ70">
        <f>CONCATENATE($A70," / ",TEXT(AJ70,"0.00"))</f>
        <v/>
      </c>
    </row>
    <row r="71">
      <c r="A71" t="inlineStr">
        <is>
          <t>00053</t>
        </is>
      </c>
      <c r="B71">
        <f>INDEX('Entity Map'!$B:$B,MATCH($A71,'Entity Map'!$A:$A,0))</f>
        <v/>
      </c>
      <c r="C71">
        <f>DATE(2026,11,1)</f>
        <v/>
      </c>
      <c r="D71">
        <f>TEXT($C71,"yyyy-mm")</f>
        <v/>
      </c>
      <c r="E71">
        <f>AVERAGEIFS(Positions!$F:$F,Positions!$A:$A,$A71)</f>
        <v/>
      </c>
      <c r="F71">
        <f>E70</f>
        <v/>
      </c>
      <c r="G71">
        <f>IF($A71=$A70,F70,E71)</f>
        <v/>
      </c>
      <c r="H71">
        <f>VLOOKUP(E71,'Fee Schedule'!$C$5:$E$11,3,TRUE)</f>
        <v/>
      </c>
      <c r="I71">
        <f>VLOOKUP($A71,'Fee Schedule'!$A$5:$E$92,5,FALSE)</f>
        <v/>
      </c>
      <c r="J71">
        <f>INDEX('Entity Map'!$C:$C,MATCH($A71,'Entity Map'!$A:$A,0))</f>
        <v/>
      </c>
      <c r="K71">
        <f>INDEX('Entity Map'!$D:$D,MATCH($A71,'Entity Map'!$A:$A,0))</f>
        <v/>
      </c>
      <c r="L71">
        <f>ROUND(E71*I71/10000,2)</f>
        <v/>
      </c>
      <c r="M71">
        <f>DAY(EOMONTH($C71,0))</f>
        <v/>
      </c>
      <c r="N71">
        <f>DATEDIF($C71,EOMONTH($C71,0),"d")+1</f>
        <v/>
      </c>
      <c r="O71">
        <f>ROUND(L71*N71/M71,2)</f>
        <v/>
      </c>
      <c r="P71">
        <f>MAX(O71,'Fee Schedule'!$H$3)</f>
        <v/>
      </c>
      <c r="Q71">
        <f>MIN(P71,'Fee Schedule'!$H$4)</f>
        <v/>
      </c>
      <c r="R71">
        <f>IFERROR(Q71*'Fee Schedule'!$H$5,0)</f>
        <v/>
      </c>
      <c r="S71">
        <f>ROUND(Q71-R71,2)</f>
        <v/>
      </c>
      <c r="T71">
        <f>LEFT($A71,3)&amp;"-"&amp;$D71</f>
        <v/>
      </c>
      <c r="U71">
        <f>COUNTIFS(Positions!$A:$A,$A71)</f>
        <v/>
      </c>
      <c r="V71">
        <f>SUM($S$19:S71)</f>
        <v/>
      </c>
      <c r="W71">
        <f>SUMPRODUCT(Positions!$F$4:$F$903,--(Positions!$A$4:$A$903=$A71))</f>
        <v/>
      </c>
      <c r="X71">
        <f>IF(S71&gt;40000,"A",IF(S71&gt;8000,"B","C"))</f>
        <v/>
      </c>
      <c r="Y71">
        <f>UPPER(TRIM(INDEX('Entity Map'!$E:$E,MATCH($A71,'Entity Map'!$A:$A,0))))</f>
        <v/>
      </c>
      <c r="Z71">
        <f>YEAR($C71)</f>
        <v/>
      </c>
      <c r="AA71">
        <f>IFERROR(VLOOKUP($A71,Overrides!$A:$C,3,FALSE),S71)</f>
        <v/>
      </c>
      <c r="AB71">
        <f>IF(AB71=S71,"","OVERRIDE")</f>
        <v/>
      </c>
      <c r="AC71">
        <f>SUMIFS(Positions!$F:$F,Positions!$E:$E,$Y71)</f>
        <v/>
      </c>
      <c r="AD71">
        <f>IFERROR(E71/AD71,0)</f>
        <v/>
      </c>
      <c r="AE71">
        <f>COUNTIF('Entity Map'!$A:$A,$A71)</f>
        <v/>
      </c>
      <c r="AF71">
        <f>MAX(Positions!$C:$C)</f>
        <v/>
      </c>
      <c r="AG71">
        <f>ROUND(E71*$B$14/10000,2)</f>
        <v/>
      </c>
      <c r="AH71">
        <f>AH71-S71</f>
        <v/>
      </c>
      <c r="AI71">
        <f>AI71*$B$15</f>
        <v/>
      </c>
      <c r="AJ71">
        <f>CONCATENATE($A71," / ",TEXT(AJ71,"0.00"))</f>
        <v/>
      </c>
    </row>
    <row r="72">
      <c r="A72" t="inlineStr">
        <is>
          <t>00054</t>
        </is>
      </c>
      <c r="B72">
        <f>INDEX('Entity Map'!$B:$B,MATCH($A72,'Entity Map'!$A:$A,0))</f>
        <v/>
      </c>
      <c r="C72">
        <f>DATE(2026,11,1)</f>
        <v/>
      </c>
      <c r="D72">
        <f>TEXT($C72,"yyyy-mm")</f>
        <v/>
      </c>
      <c r="E72">
        <f>AVERAGEIFS(Positions!$F:$F,Positions!$A:$A,$A72)</f>
        <v/>
      </c>
      <c r="F72">
        <f>E71</f>
        <v/>
      </c>
      <c r="G72">
        <f>IF($A72=$A71,F71,E72)</f>
        <v/>
      </c>
      <c r="H72">
        <f>VLOOKUP(E72,'Fee Schedule'!$C$5:$E$11,3,TRUE)</f>
        <v/>
      </c>
      <c r="I72">
        <f>VLOOKUP($A72,'Fee Schedule'!$A$5:$E$92,5,FALSE)</f>
        <v/>
      </c>
      <c r="J72">
        <f>INDEX('Entity Map'!$C:$C,MATCH($A72,'Entity Map'!$A:$A,0))</f>
        <v/>
      </c>
      <c r="K72">
        <f>INDEX('Entity Map'!$D:$D,MATCH($A72,'Entity Map'!$A:$A,0))</f>
        <v/>
      </c>
      <c r="L72">
        <f>ROUND(E72*I72/10000,2)</f>
        <v/>
      </c>
      <c r="M72">
        <f>DAY(EOMONTH($C72,0))</f>
        <v/>
      </c>
      <c r="N72">
        <f>DATEDIF($C72,EOMONTH($C72,0),"d")+1</f>
        <v/>
      </c>
      <c r="O72">
        <f>ROUND(L72*N72/M72,2)</f>
        <v/>
      </c>
      <c r="P72">
        <f>MAX(O72,'Fee Schedule'!$H$3)</f>
        <v/>
      </c>
      <c r="Q72">
        <f>MIN(P72,'Fee Schedule'!$H$4)</f>
        <v/>
      </c>
      <c r="R72">
        <f>IFERROR(Q72*'Fee Schedule'!$H$5,0)</f>
        <v/>
      </c>
      <c r="S72">
        <f>ROUND(Q72-R72,2)</f>
        <v/>
      </c>
      <c r="T72">
        <f>LEFT($A72,3)&amp;"-"&amp;$D72</f>
        <v/>
      </c>
      <c r="U72">
        <f>COUNTIFS(Positions!$A:$A,$A72)</f>
        <v/>
      </c>
      <c r="V72">
        <f>SUM($S$19:S72)</f>
        <v/>
      </c>
      <c r="W72">
        <f>SUMPRODUCT(Positions!$F$4:$F$903,--(Positions!$A$4:$A$903=$A72))</f>
        <v/>
      </c>
      <c r="X72">
        <f>IF(S72&gt;40000,"A",IF(S72&gt;8000,"B","C"))</f>
        <v/>
      </c>
      <c r="Y72">
        <f>UPPER(TRIM(INDEX('Entity Map'!$E:$E,MATCH($A72,'Entity Map'!$A:$A,0))))</f>
        <v/>
      </c>
      <c r="Z72">
        <f>YEAR($C72)</f>
        <v/>
      </c>
      <c r="AA72">
        <f>IFERROR(VLOOKUP($A72,Overrides!$A:$C,3,FALSE),S72)</f>
        <v/>
      </c>
      <c r="AB72">
        <f>IF(AB72=S72,"","OVERRIDE")</f>
        <v/>
      </c>
      <c r="AC72">
        <f>SUMIFS(Positions!$F:$F,Positions!$E:$E,$Y72)</f>
        <v/>
      </c>
      <c r="AD72">
        <f>IFERROR(E72/AD72,0)</f>
        <v/>
      </c>
      <c r="AE72">
        <f>COUNTIF('Entity Map'!$A:$A,$A72)</f>
        <v/>
      </c>
      <c r="AF72">
        <f>MAX(Positions!$C:$C)</f>
        <v/>
      </c>
      <c r="AG72">
        <f>ROUND(E72*$B$14/10000,2)</f>
        <v/>
      </c>
      <c r="AH72">
        <f>AH72-S72</f>
        <v/>
      </c>
      <c r="AI72">
        <f>AI72*$B$15</f>
        <v/>
      </c>
      <c r="AJ72">
        <f>CONCATENATE($A72," / ",TEXT(AJ72,"0.00"))</f>
        <v/>
      </c>
    </row>
    <row r="73">
      <c r="A73" t="inlineStr">
        <is>
          <t>00055</t>
        </is>
      </c>
      <c r="B73">
        <f>INDEX('Entity Map'!$B:$B,MATCH($A73,'Entity Map'!$A:$A,0))</f>
        <v/>
      </c>
      <c r="C73">
        <f>DATE(2026,11,1)</f>
        <v/>
      </c>
      <c r="D73">
        <f>TEXT($C73,"yyyy-mm")</f>
        <v/>
      </c>
      <c r="E73">
        <f>AVERAGEIFS(Positions!$F:$F,Positions!$A:$A,$A73)</f>
        <v/>
      </c>
      <c r="F73">
        <f>E72</f>
        <v/>
      </c>
      <c r="G73">
        <f>IF($A73=$A72,F72,E73)</f>
        <v/>
      </c>
      <c r="H73">
        <f>VLOOKUP(E73,'Fee Schedule'!$C$5:$E$11,3,TRUE)</f>
        <v/>
      </c>
      <c r="I73">
        <f>VLOOKUP($A73,'Fee Schedule'!$A$5:$E$92,5,FALSE)</f>
        <v/>
      </c>
      <c r="J73">
        <f>INDEX('Entity Map'!$C:$C,MATCH($A73,'Entity Map'!$A:$A,0))</f>
        <v/>
      </c>
      <c r="K73">
        <f>INDEX('Entity Map'!$D:$D,MATCH($A73,'Entity Map'!$A:$A,0))</f>
        <v/>
      </c>
      <c r="L73">
        <f>ROUND(E73*I73/10000,2)</f>
        <v/>
      </c>
      <c r="M73">
        <f>DAY(EOMONTH($C73,0))</f>
        <v/>
      </c>
      <c r="N73">
        <f>DATEDIF($C73,EOMONTH($C73,0),"d")+1</f>
        <v/>
      </c>
      <c r="O73">
        <f>ROUND(L73*N73/M73,2)</f>
        <v/>
      </c>
      <c r="P73">
        <f>MAX(O73,'Fee Schedule'!$H$3)</f>
        <v/>
      </c>
      <c r="Q73">
        <f>MIN(P73,'Fee Schedule'!$H$4)</f>
        <v/>
      </c>
      <c r="R73">
        <f>IFERROR(Q73*'Fee Schedule'!$H$5,0)</f>
        <v/>
      </c>
      <c r="S73">
        <f>ROUND(Q73-R73,2)</f>
        <v/>
      </c>
      <c r="T73">
        <f>LEFT($A73,3)&amp;"-"&amp;$D73</f>
        <v/>
      </c>
      <c r="U73">
        <f>COUNTIFS(Positions!$A:$A,$A73)</f>
        <v/>
      </c>
      <c r="V73">
        <f>SUM($S$19:S73)</f>
        <v/>
      </c>
      <c r="W73">
        <f>SUMPRODUCT(Positions!$F$4:$F$903,--(Positions!$A$4:$A$903=$A73))</f>
        <v/>
      </c>
      <c r="X73">
        <f>IF(S73&gt;40000,"A",IF(S73&gt;8000,"B","C"))</f>
        <v/>
      </c>
      <c r="Y73">
        <f>UPPER(TRIM(INDEX('Entity Map'!$E:$E,MATCH($A73,'Entity Map'!$A:$A,0))))</f>
        <v/>
      </c>
      <c r="Z73">
        <f>YEAR($C73)</f>
        <v/>
      </c>
      <c r="AA73">
        <f>IFERROR(VLOOKUP($A73,Overrides!$A:$C,3,FALSE),S73)</f>
        <v/>
      </c>
      <c r="AB73">
        <f>IF(AB73=S73,"","OVERRIDE")</f>
        <v/>
      </c>
      <c r="AC73">
        <f>SUMIFS(Positions!$F:$F,Positions!$E:$E,$Y73)</f>
        <v/>
      </c>
      <c r="AD73">
        <f>IFERROR(E73/AD73,0)</f>
        <v/>
      </c>
      <c r="AE73">
        <f>COUNTIF('Entity Map'!$A:$A,$A73)</f>
        <v/>
      </c>
      <c r="AF73">
        <f>MAX(Positions!$C:$C)</f>
        <v/>
      </c>
      <c r="AG73">
        <f>ROUND(E73*$B$14/10000,2)</f>
        <v/>
      </c>
      <c r="AH73">
        <f>AH73-S73</f>
        <v/>
      </c>
      <c r="AI73">
        <f>AI73*$B$15</f>
        <v/>
      </c>
      <c r="AJ73">
        <f>CONCATENATE($A73," / ",TEXT(AJ73,"0.00"))</f>
        <v/>
      </c>
    </row>
    <row r="74">
      <c r="A74" t="inlineStr">
        <is>
          <t>00056</t>
        </is>
      </c>
      <c r="B74">
        <f>INDEX('Entity Map'!$B:$B,MATCH($A74,'Entity Map'!$A:$A,0))</f>
        <v/>
      </c>
      <c r="C74">
        <f>DATE(2026,11,1)</f>
        <v/>
      </c>
      <c r="D74">
        <f>TEXT($C74,"yyyy-mm")</f>
        <v/>
      </c>
      <c r="E74">
        <f>AVERAGEIFS(Positions!$F:$F,Positions!$A:$A,$A74)</f>
        <v/>
      </c>
      <c r="F74">
        <f>E73</f>
        <v/>
      </c>
      <c r="G74">
        <f>IF($A74=$A73,F73,E74)</f>
        <v/>
      </c>
      <c r="H74">
        <f>VLOOKUP(E74,'Fee Schedule'!$C$5:$E$11,3,TRUE)</f>
        <v/>
      </c>
      <c r="I74">
        <f>VLOOKUP($A74,'Fee Schedule'!$A$5:$E$92,5,FALSE)</f>
        <v/>
      </c>
      <c r="J74">
        <f>INDEX('Entity Map'!$C:$C,MATCH($A74,'Entity Map'!$A:$A,0))</f>
        <v/>
      </c>
      <c r="K74">
        <f>INDEX('Entity Map'!$D:$D,MATCH($A74,'Entity Map'!$A:$A,0))</f>
        <v/>
      </c>
      <c r="L74">
        <f>ROUND(E74*I74/10000,2)</f>
        <v/>
      </c>
      <c r="M74">
        <f>DAY(EOMONTH($C74,0))</f>
        <v/>
      </c>
      <c r="N74">
        <f>DATEDIF($C74,EOMONTH($C74,0),"d")+1</f>
        <v/>
      </c>
      <c r="O74">
        <f>ROUND(L74*N74/M74,2)</f>
        <v/>
      </c>
      <c r="P74">
        <f>MAX(O74,'Fee Schedule'!$H$3)</f>
        <v/>
      </c>
      <c r="Q74">
        <f>MIN(P74,'Fee Schedule'!$H$4)</f>
        <v/>
      </c>
      <c r="R74">
        <f>IFERROR(Q74*'Fee Schedule'!$H$5,0)</f>
        <v/>
      </c>
      <c r="S74">
        <f>ROUND(Q74-R74,2)</f>
        <v/>
      </c>
      <c r="T74">
        <f>LEFT($A74,3)&amp;"-"&amp;$D74</f>
        <v/>
      </c>
      <c r="U74">
        <f>COUNTIFS(Positions!$A:$A,$A74)</f>
        <v/>
      </c>
      <c r="V74">
        <f>SUM($S$19:S74)</f>
        <v/>
      </c>
      <c r="W74">
        <f>SUMPRODUCT(Positions!$F$4:$F$903,--(Positions!$A$4:$A$903=$A74))</f>
        <v/>
      </c>
      <c r="X74">
        <f>IF(S74&gt;40000,"A",IF(S74&gt;8000,"B","C"))</f>
        <v/>
      </c>
      <c r="Y74">
        <f>UPPER(TRIM(INDEX('Entity Map'!$E:$E,MATCH($A74,'Entity Map'!$A:$A,0))))</f>
        <v/>
      </c>
      <c r="Z74">
        <f>YEAR($C74)</f>
        <v/>
      </c>
      <c r="AA74">
        <f>IFERROR(VLOOKUP($A74,Overrides!$A:$C,3,FALSE),S74)</f>
        <v/>
      </c>
      <c r="AB74">
        <f>IF(AB74=S74,"","OVERRIDE")</f>
        <v/>
      </c>
      <c r="AC74">
        <f>SUMIFS(Positions!$F:$F,Positions!$E:$E,$Y74)</f>
        <v/>
      </c>
      <c r="AD74">
        <f>IFERROR(E74/AD74,0)</f>
        <v/>
      </c>
      <c r="AE74">
        <f>COUNTIF('Entity Map'!$A:$A,$A74)</f>
        <v/>
      </c>
      <c r="AF74">
        <f>MAX(Positions!$C:$C)</f>
        <v/>
      </c>
      <c r="AG74">
        <f>ROUND(E74*$B$14/10000,2)</f>
        <v/>
      </c>
      <c r="AH74">
        <f>AH74-S74</f>
        <v/>
      </c>
      <c r="AI74">
        <f>AI74*$B$15</f>
        <v/>
      </c>
      <c r="AJ74">
        <f>CONCATENATE($A74," / ",TEXT(AJ74,"0.00"))</f>
        <v/>
      </c>
    </row>
    <row r="75">
      <c r="A75" t="inlineStr">
        <is>
          <t>00057</t>
        </is>
      </c>
      <c r="B75">
        <f>INDEX('Entity Map'!$B:$B,MATCH($A75,'Entity Map'!$A:$A,0))</f>
        <v/>
      </c>
      <c r="C75">
        <f>DATE(2026,11,1)</f>
        <v/>
      </c>
      <c r="D75">
        <f>TEXT($C75,"yyyy-mm")</f>
        <v/>
      </c>
      <c r="E75">
        <f>AVERAGEIFS(Positions!$F:$F,Positions!$A:$A,$A75)</f>
        <v/>
      </c>
      <c r="F75">
        <f>E74</f>
        <v/>
      </c>
      <c r="G75">
        <f>IF($A75=$A74,F74,E75)</f>
        <v/>
      </c>
      <c r="H75">
        <f>VLOOKUP(E75,'Fee Schedule'!$C$5:$E$11,3,TRUE)</f>
        <v/>
      </c>
      <c r="I75">
        <f>VLOOKUP($A75,'Fee Schedule'!$A$5:$E$92,5,FALSE)</f>
        <v/>
      </c>
      <c r="J75">
        <f>INDEX('Entity Map'!$C:$C,MATCH($A75,'Entity Map'!$A:$A,0))</f>
        <v/>
      </c>
      <c r="K75">
        <f>INDEX('Entity Map'!$D:$D,MATCH($A75,'Entity Map'!$A:$A,0))</f>
        <v/>
      </c>
      <c r="L75">
        <f>ROUND(E75*I75/10000,2)</f>
        <v/>
      </c>
      <c r="M75">
        <f>DAY(EOMONTH($C75,0))</f>
        <v/>
      </c>
      <c r="N75">
        <f>DATEDIF($C75,EOMONTH($C75,0),"d")+1</f>
        <v/>
      </c>
      <c r="O75">
        <f>ROUND(L75*N75/M75,2)</f>
        <v/>
      </c>
      <c r="P75">
        <f>MAX(O75,'Fee Schedule'!$H$3)</f>
        <v/>
      </c>
      <c r="Q75">
        <f>MIN(P75,'Fee Schedule'!$H$4)</f>
        <v/>
      </c>
      <c r="R75">
        <f>IFERROR(Q75*'Fee Schedule'!$H$5,0)</f>
        <v/>
      </c>
      <c r="S75">
        <f>ROUND(Q75-R75,2)</f>
        <v/>
      </c>
      <c r="T75">
        <f>LEFT($A75,3)&amp;"-"&amp;$D75</f>
        <v/>
      </c>
      <c r="U75">
        <f>COUNTIFS(Positions!$A:$A,$A75)</f>
        <v/>
      </c>
      <c r="V75">
        <f>SUM($S$19:S75)</f>
        <v/>
      </c>
      <c r="W75">
        <f>SUMPRODUCT(Positions!$F$4:$F$903,--(Positions!$A$4:$A$903=$A75))</f>
        <v/>
      </c>
      <c r="X75">
        <f>IF(S75&gt;40000,"A",IF(S75&gt;8000,"B","C"))</f>
        <v/>
      </c>
      <c r="Y75">
        <f>UPPER(TRIM(INDEX('Entity Map'!$E:$E,MATCH($A75,'Entity Map'!$A:$A,0))))</f>
        <v/>
      </c>
      <c r="Z75">
        <f>YEAR($C75)</f>
        <v/>
      </c>
      <c r="AA75">
        <f>IFERROR(VLOOKUP($A75,Overrides!$A:$C,3,FALSE),S75)</f>
        <v/>
      </c>
      <c r="AB75">
        <f>IF(AB75=S75,"","OVERRIDE")</f>
        <v/>
      </c>
      <c r="AC75">
        <f>SUMIFS(Positions!$F:$F,Positions!$E:$E,$Y75)</f>
        <v/>
      </c>
      <c r="AD75">
        <f>IFERROR(E75/AD75,0)</f>
        <v/>
      </c>
      <c r="AE75">
        <f>COUNTIF('Entity Map'!$A:$A,$A75)</f>
        <v/>
      </c>
      <c r="AF75">
        <f>MAX(Positions!$C:$C)</f>
        <v/>
      </c>
      <c r="AG75">
        <f>ROUND(E75*$B$14/10000,2)</f>
        <v/>
      </c>
      <c r="AH75">
        <f>AH75-S75</f>
        <v/>
      </c>
      <c r="AI75">
        <f>AI75*$B$15</f>
        <v/>
      </c>
      <c r="AJ75">
        <f>CONCATENATE($A75," / ",TEXT(AJ75,"0.00"))</f>
        <v/>
      </c>
    </row>
    <row r="76">
      <c r="A76" t="inlineStr">
        <is>
          <t>00058</t>
        </is>
      </c>
      <c r="B76">
        <f>INDEX('Entity Map'!$B:$B,MATCH($A76,'Entity Map'!$A:$A,0))</f>
        <v/>
      </c>
      <c r="C76">
        <f>DATE(2026,11,1)</f>
        <v/>
      </c>
      <c r="D76">
        <f>TEXT($C76,"yyyy-mm")</f>
        <v/>
      </c>
      <c r="E76">
        <f>AVERAGEIFS(Positions!$F:$F,Positions!$A:$A,$A76)</f>
        <v/>
      </c>
      <c r="F76">
        <f>E75</f>
        <v/>
      </c>
      <c r="G76">
        <f>IF($A76=$A75,F75,E76)</f>
        <v/>
      </c>
      <c r="H76">
        <f>VLOOKUP(E76,'Fee Schedule'!$C$5:$E$11,3,TRUE)</f>
        <v/>
      </c>
      <c r="I76">
        <f>VLOOKUP($A76,'Fee Schedule'!$A$5:$E$92,5,FALSE)</f>
        <v/>
      </c>
      <c r="J76">
        <f>INDEX('Entity Map'!$C:$C,MATCH($A76,'Entity Map'!$A:$A,0))</f>
        <v/>
      </c>
      <c r="K76">
        <f>INDEX('Entity Map'!$D:$D,MATCH($A76,'Entity Map'!$A:$A,0))</f>
        <v/>
      </c>
      <c r="L76">
        <f>ROUND(E76*I76/10000,2)</f>
        <v/>
      </c>
      <c r="M76">
        <f>DAY(EOMONTH($C76,0))</f>
        <v/>
      </c>
      <c r="N76">
        <f>DATEDIF($C76,EOMONTH($C76,0),"d")+1</f>
        <v/>
      </c>
      <c r="O76">
        <f>ROUND(L76*N76/M76,2)</f>
        <v/>
      </c>
      <c r="P76">
        <f>MAX(O76,'Fee Schedule'!$H$3)</f>
        <v/>
      </c>
      <c r="Q76">
        <f>MIN(P76,'Fee Schedule'!$H$4)</f>
        <v/>
      </c>
      <c r="R76">
        <f>IFERROR(Q76*'Fee Schedule'!$H$5,0)</f>
        <v/>
      </c>
      <c r="S76">
        <f>ROUND(Q76-R76,2)</f>
        <v/>
      </c>
      <c r="T76">
        <f>LEFT($A76,3)&amp;"-"&amp;$D76</f>
        <v/>
      </c>
      <c r="U76">
        <f>COUNTIFS(Positions!$A:$A,$A76)</f>
        <v/>
      </c>
      <c r="V76">
        <f>SUM($S$19:S76)</f>
        <v/>
      </c>
      <c r="W76">
        <f>SUMPRODUCT(Positions!$F$4:$F$903,--(Positions!$A$4:$A$903=$A76))</f>
        <v/>
      </c>
      <c r="X76">
        <f>IF(S76&gt;40000,"A",IF(S76&gt;8000,"B","C"))</f>
        <v/>
      </c>
      <c r="Y76">
        <f>UPPER(TRIM(INDEX('Entity Map'!$E:$E,MATCH($A76,'Entity Map'!$A:$A,0))))</f>
        <v/>
      </c>
      <c r="Z76">
        <f>YEAR($C76)</f>
        <v/>
      </c>
      <c r="AA76">
        <f>IFERROR(VLOOKUP($A76,Overrides!$A:$C,3,FALSE),S76)</f>
        <v/>
      </c>
      <c r="AB76">
        <f>IF(AB76=S76,"","OVERRIDE")</f>
        <v/>
      </c>
      <c r="AC76">
        <f>SUMIFS(Positions!$F:$F,Positions!$E:$E,$Y76)</f>
        <v/>
      </c>
      <c r="AD76">
        <f>IFERROR(E76/AD76,0)</f>
        <v/>
      </c>
      <c r="AE76">
        <f>COUNTIF('Entity Map'!$A:$A,$A76)</f>
        <v/>
      </c>
      <c r="AF76">
        <f>MAX(Positions!$C:$C)</f>
        <v/>
      </c>
      <c r="AG76">
        <f>ROUND(E76*$B$14/10000,2)</f>
        <v/>
      </c>
      <c r="AH76">
        <f>AH76-S76</f>
        <v/>
      </c>
      <c r="AI76">
        <f>AI76*$B$15</f>
        <v/>
      </c>
      <c r="AJ76">
        <f>CONCATENATE($A76," / ",TEXT(AJ76,"0.00"))</f>
        <v/>
      </c>
    </row>
    <row r="77">
      <c r="A77" t="inlineStr">
        <is>
          <t>00059</t>
        </is>
      </c>
      <c r="B77">
        <f>INDEX('Entity Map'!$B:$B,MATCH($A77,'Entity Map'!$A:$A,0))</f>
        <v/>
      </c>
      <c r="C77">
        <f>DATE(2026,11,1)</f>
        <v/>
      </c>
      <c r="D77">
        <f>TEXT($C77,"yyyy-mm")</f>
        <v/>
      </c>
      <c r="E77">
        <f>AVERAGEIFS(Positions!$F:$F,Positions!$A:$A,$A77)</f>
        <v/>
      </c>
      <c r="F77">
        <f>E76</f>
        <v/>
      </c>
      <c r="G77">
        <f>IF($A77=$A76,F76,E77)</f>
        <v/>
      </c>
      <c r="H77">
        <f>VLOOKUP(E77,'Fee Schedule'!$C$5:$E$11,3,TRUE)</f>
        <v/>
      </c>
      <c r="I77">
        <f>VLOOKUP($A77,'Fee Schedule'!$A$5:$E$92,5,FALSE)</f>
        <v/>
      </c>
      <c r="J77">
        <f>INDEX('Entity Map'!$C:$C,MATCH($A77,'Entity Map'!$A:$A,0))</f>
        <v/>
      </c>
      <c r="K77">
        <f>INDEX('Entity Map'!$D:$D,MATCH($A77,'Entity Map'!$A:$A,0))</f>
        <v/>
      </c>
      <c r="L77">
        <f>ROUND(E77*I77/10000,2)</f>
        <v/>
      </c>
      <c r="M77">
        <f>DAY(EOMONTH($C77,0))</f>
        <v/>
      </c>
      <c r="N77">
        <f>DATEDIF($C77,EOMONTH($C77,0),"d")+1</f>
        <v/>
      </c>
      <c r="O77">
        <f>ROUND(L77*N77/M77,2)</f>
        <v/>
      </c>
      <c r="P77">
        <f>MAX(O77,'Fee Schedule'!$H$3)</f>
        <v/>
      </c>
      <c r="Q77">
        <f>MIN(P77,'Fee Schedule'!$H$4)</f>
        <v/>
      </c>
      <c r="R77">
        <f>IFERROR(Q77*'Fee Schedule'!$H$5,0)</f>
        <v/>
      </c>
      <c r="S77">
        <f>ROUND(Q77-R77,2)</f>
        <v/>
      </c>
      <c r="T77">
        <f>LEFT($A77,3)&amp;"-"&amp;$D77</f>
        <v/>
      </c>
      <c r="U77">
        <f>COUNTIFS(Positions!$A:$A,$A77)</f>
        <v/>
      </c>
      <c r="V77">
        <f>SUM($S$19:S77)</f>
        <v/>
      </c>
      <c r="W77">
        <f>SUMPRODUCT(Positions!$F$4:$F$903,--(Positions!$A$4:$A$903=$A77))</f>
        <v/>
      </c>
      <c r="X77">
        <f>IF(S77&gt;40000,"A",IF(S77&gt;8000,"B","C"))</f>
        <v/>
      </c>
      <c r="Y77">
        <f>UPPER(TRIM(INDEX('Entity Map'!$E:$E,MATCH($A77,'Entity Map'!$A:$A,0))))</f>
        <v/>
      </c>
      <c r="Z77">
        <f>YEAR($C77)</f>
        <v/>
      </c>
      <c r="AA77">
        <f>IFERROR(VLOOKUP($A77,Overrides!$A:$C,3,FALSE),S77)</f>
        <v/>
      </c>
      <c r="AB77">
        <f>IF(AB77=S77,"","OVERRIDE")</f>
        <v/>
      </c>
      <c r="AC77">
        <f>SUMIFS(Positions!$F:$F,Positions!$E:$E,$Y77)</f>
        <v/>
      </c>
      <c r="AD77">
        <f>IFERROR(E77/AD77,0)</f>
        <v/>
      </c>
      <c r="AE77">
        <f>COUNTIF('Entity Map'!$A:$A,$A77)</f>
        <v/>
      </c>
      <c r="AF77">
        <f>MAX(Positions!$C:$C)</f>
        <v/>
      </c>
      <c r="AG77">
        <f>ROUND(E77*$B$14/10000,2)</f>
        <v/>
      </c>
      <c r="AH77">
        <f>AH77-S77</f>
        <v/>
      </c>
      <c r="AI77">
        <f>AI77*$B$15</f>
        <v/>
      </c>
      <c r="AJ77">
        <f>CONCATENATE($A77," / ",TEXT(AJ77,"0.00"))</f>
        <v/>
      </c>
    </row>
    <row r="78">
      <c r="A78" t="inlineStr">
        <is>
          <t>00060</t>
        </is>
      </c>
      <c r="B78">
        <f>INDEX('Entity Map'!$B:$B,MATCH($A78,'Entity Map'!$A:$A,0))</f>
        <v/>
      </c>
      <c r="C78">
        <f>DATE(2026,11,1)</f>
        <v/>
      </c>
      <c r="D78">
        <f>TEXT($C78,"yyyy-mm")</f>
        <v/>
      </c>
      <c r="E78">
        <f>AVERAGEIFS(Positions!$F:$F,Positions!$A:$A,$A78)</f>
        <v/>
      </c>
      <c r="F78">
        <f>E77</f>
        <v/>
      </c>
      <c r="G78">
        <f>IF($A78=$A77,F77,E78)</f>
        <v/>
      </c>
      <c r="H78">
        <f>VLOOKUP(E78,'Fee Schedule'!$C$5:$E$11,3,TRUE)</f>
        <v/>
      </c>
      <c r="I78">
        <f>VLOOKUP($A78,'Fee Schedule'!$A$5:$E$92,5,FALSE)</f>
        <v/>
      </c>
      <c r="J78">
        <f>INDEX('Entity Map'!$C:$C,MATCH($A78,'Entity Map'!$A:$A,0))</f>
        <v/>
      </c>
      <c r="K78">
        <f>INDEX('Entity Map'!$D:$D,MATCH($A78,'Entity Map'!$A:$A,0))</f>
        <v/>
      </c>
      <c r="L78">
        <f>ROUND(E78*I78/10000,2)</f>
        <v/>
      </c>
      <c r="M78">
        <f>DAY(EOMONTH($C78,0))</f>
        <v/>
      </c>
      <c r="N78">
        <f>DATEDIF($C78,EOMONTH($C78,0),"d")+1</f>
        <v/>
      </c>
      <c r="O78">
        <f>ROUND(L78*N78/M78,2)</f>
        <v/>
      </c>
      <c r="P78">
        <f>MAX(O78,'Fee Schedule'!$H$3)</f>
        <v/>
      </c>
      <c r="Q78">
        <f>MIN(P78,'Fee Schedule'!$H$4)</f>
        <v/>
      </c>
      <c r="R78">
        <f>IFERROR(Q78*'Fee Schedule'!$H$5,0)</f>
        <v/>
      </c>
      <c r="S78">
        <f>ROUND(Q78-R78,2)</f>
        <v/>
      </c>
      <c r="T78">
        <f>LEFT($A78,3)&amp;"-"&amp;$D78</f>
        <v/>
      </c>
      <c r="U78">
        <f>COUNTIFS(Positions!$A:$A,$A78)</f>
        <v/>
      </c>
      <c r="V78">
        <f>SUM($S$19:S78)</f>
        <v/>
      </c>
      <c r="W78">
        <f>SUMPRODUCT(Positions!$F$4:$F$903,--(Positions!$A$4:$A$903=$A78))</f>
        <v/>
      </c>
      <c r="X78">
        <f>IF(S78&gt;40000,"A",IF(S78&gt;8000,"B","C"))</f>
        <v/>
      </c>
      <c r="Y78">
        <f>UPPER(TRIM(INDEX('Entity Map'!$E:$E,MATCH($A78,'Entity Map'!$A:$A,0))))</f>
        <v/>
      </c>
      <c r="Z78">
        <f>YEAR($C78)</f>
        <v/>
      </c>
      <c r="AA78">
        <f>IFERROR(VLOOKUP($A78,Overrides!$A:$C,3,FALSE),S78)</f>
        <v/>
      </c>
      <c r="AB78">
        <f>IF(AB78=S78,"","OVERRIDE")</f>
        <v/>
      </c>
      <c r="AC78">
        <f>SUMIFS(Positions!$F:$F,Positions!$E:$E,$Y78)</f>
        <v/>
      </c>
      <c r="AD78">
        <f>IFERROR(E78/AD78,0)</f>
        <v/>
      </c>
      <c r="AE78">
        <f>COUNTIF('Entity Map'!$A:$A,$A78)</f>
        <v/>
      </c>
      <c r="AF78">
        <f>MAX(Positions!$C:$C)</f>
        <v/>
      </c>
      <c r="AG78">
        <f>ROUND(E78*$B$14/10000,2)</f>
        <v/>
      </c>
      <c r="AH78">
        <f>AH78-S78</f>
        <v/>
      </c>
      <c r="AI78">
        <f>AI78*$B$15</f>
        <v/>
      </c>
      <c r="AJ78">
        <f>CONCATENATE($A78," / ",TEXT(AJ78,"0.00"))</f>
        <v/>
      </c>
    </row>
    <row r="79">
      <c r="A79" t="inlineStr">
        <is>
          <t>00061</t>
        </is>
      </c>
      <c r="B79">
        <f>INDEX('Entity Map'!$B:$B,MATCH($A79,'Entity Map'!$A:$A,0))</f>
        <v/>
      </c>
      <c r="C79">
        <f>DATE(2026,11,1)</f>
        <v/>
      </c>
      <c r="D79">
        <f>TEXT($C79,"yyyy-mm")</f>
        <v/>
      </c>
      <c r="E79">
        <f>AVERAGEIFS(Positions!$F:$F,Positions!$A:$A,$A79)</f>
        <v/>
      </c>
      <c r="F79">
        <f>E78</f>
        <v/>
      </c>
      <c r="G79">
        <f>IF($A79=$A78,F78,E79)</f>
        <v/>
      </c>
      <c r="H79">
        <f>VLOOKUP(E79,'Fee Schedule'!$C$5:$E$11,3,TRUE)</f>
        <v/>
      </c>
      <c r="I79">
        <f>VLOOKUP($A79,'Fee Schedule'!$A$5:$E$92,5,FALSE)</f>
        <v/>
      </c>
      <c r="J79">
        <f>INDEX('Entity Map'!$C:$C,MATCH($A79,'Entity Map'!$A:$A,0))</f>
        <v/>
      </c>
      <c r="K79">
        <f>INDEX('Entity Map'!$D:$D,MATCH($A79,'Entity Map'!$A:$A,0))</f>
        <v/>
      </c>
      <c r="L79">
        <f>ROUND(E79*I79/10000,2)</f>
        <v/>
      </c>
      <c r="M79">
        <f>DAY(EOMONTH($C79,0))</f>
        <v/>
      </c>
      <c r="N79">
        <f>DATEDIF($C79,EOMONTH($C79,0),"d")+1</f>
        <v/>
      </c>
      <c r="O79">
        <f>ROUND(L79*N79/M79,2)</f>
        <v/>
      </c>
      <c r="P79">
        <f>MAX(O79,'Fee Schedule'!$H$3)</f>
        <v/>
      </c>
      <c r="Q79">
        <f>MIN(P79,'Fee Schedule'!$H$4)</f>
        <v/>
      </c>
      <c r="R79">
        <f>IFERROR(Q79*'Fee Schedule'!$H$5,0)</f>
        <v/>
      </c>
      <c r="S79">
        <f>ROUND(Q79-R79,2)</f>
        <v/>
      </c>
      <c r="T79">
        <f>LEFT($A79,3)&amp;"-"&amp;$D79</f>
        <v/>
      </c>
      <c r="U79">
        <f>COUNTIFS(Positions!$A:$A,$A79)</f>
        <v/>
      </c>
      <c r="V79">
        <f>SUM($S$19:S79)</f>
        <v/>
      </c>
      <c r="W79">
        <f>SUMPRODUCT(Positions!$F$4:$F$903,--(Positions!$A$4:$A$903=$A79))</f>
        <v/>
      </c>
      <c r="X79">
        <f>IF(S79&gt;40000,"A",IF(S79&gt;8000,"B","C"))</f>
        <v/>
      </c>
      <c r="Y79">
        <f>UPPER(TRIM(INDEX('Entity Map'!$E:$E,MATCH($A79,'Entity Map'!$A:$A,0))))</f>
        <v/>
      </c>
      <c r="Z79">
        <f>YEAR($C79)</f>
        <v/>
      </c>
      <c r="AA79">
        <f>IFERROR(VLOOKUP($A79,Overrides!$A:$C,3,FALSE),S79)</f>
        <v/>
      </c>
      <c r="AB79">
        <f>IF(AB79=S79,"","OVERRIDE")</f>
        <v/>
      </c>
      <c r="AC79">
        <f>SUMIFS(Positions!$F:$F,Positions!$E:$E,$Y79)</f>
        <v/>
      </c>
      <c r="AD79">
        <f>IFERROR(E79/AD79,0)</f>
        <v/>
      </c>
      <c r="AE79">
        <f>COUNTIF('Entity Map'!$A:$A,$A79)</f>
        <v/>
      </c>
      <c r="AF79">
        <f>MAX(Positions!$C:$C)</f>
        <v/>
      </c>
      <c r="AG79">
        <f>ROUND(E79*$B$14/10000,2)</f>
        <v/>
      </c>
      <c r="AH79">
        <f>AH79-S79</f>
        <v/>
      </c>
      <c r="AI79">
        <f>AI79*$B$15</f>
        <v/>
      </c>
      <c r="AJ79">
        <f>CONCATENATE($A79," / ",TEXT(AJ79,"0.00"))</f>
        <v/>
      </c>
    </row>
    <row r="80">
      <c r="A80" t="inlineStr">
        <is>
          <t>00062</t>
        </is>
      </c>
      <c r="B80">
        <f>INDEX('Entity Map'!$B:$B,MATCH($A80,'Entity Map'!$A:$A,0))</f>
        <v/>
      </c>
      <c r="C80">
        <f>DATE(2026,11,1)</f>
        <v/>
      </c>
      <c r="D80">
        <f>TEXT($C80,"yyyy-mm")</f>
        <v/>
      </c>
      <c r="E80">
        <f>AVERAGEIFS(Positions!$F:$F,Positions!$A:$A,$A80)</f>
        <v/>
      </c>
      <c r="F80">
        <f>E79</f>
        <v/>
      </c>
      <c r="G80">
        <f>IF($A80=$A79,F79,E80)</f>
        <v/>
      </c>
      <c r="H80">
        <f>VLOOKUP(E80,'Fee Schedule'!$C$5:$E$11,3,TRUE)</f>
        <v/>
      </c>
      <c r="I80">
        <f>VLOOKUP($A80,'Fee Schedule'!$A$5:$E$92,5,FALSE)</f>
        <v/>
      </c>
      <c r="J80">
        <f>INDEX('Entity Map'!$C:$C,MATCH($A80,'Entity Map'!$A:$A,0))</f>
        <v/>
      </c>
      <c r="K80">
        <f>INDEX('Entity Map'!$D:$D,MATCH($A80,'Entity Map'!$A:$A,0))</f>
        <v/>
      </c>
      <c r="L80">
        <f>ROUND(E80*I80/10000,2)</f>
        <v/>
      </c>
      <c r="M80">
        <f>DAY(EOMONTH($C80,0))</f>
        <v/>
      </c>
      <c r="N80">
        <f>DATEDIF($C80,EOMONTH($C80,0),"d")+1</f>
        <v/>
      </c>
      <c r="O80">
        <f>ROUND(L80*N80/M80,2)</f>
        <v/>
      </c>
      <c r="P80">
        <f>MAX(O80,'Fee Schedule'!$H$3)</f>
        <v/>
      </c>
      <c r="Q80">
        <f>MIN(P80,'Fee Schedule'!$H$4)</f>
        <v/>
      </c>
      <c r="R80">
        <f>IFERROR(Q80*'Fee Schedule'!$H$5,0)</f>
        <v/>
      </c>
      <c r="S80">
        <f>ROUND(Q80-R80,2)</f>
        <v/>
      </c>
      <c r="T80">
        <f>LEFT($A80,3)&amp;"-"&amp;$D80</f>
        <v/>
      </c>
      <c r="U80">
        <f>COUNTIFS(Positions!$A:$A,$A80)</f>
        <v/>
      </c>
      <c r="V80">
        <f>SUM($S$19:S80)</f>
        <v/>
      </c>
      <c r="W80">
        <f>SUMPRODUCT(Positions!$F$4:$F$903,--(Positions!$A$4:$A$903=$A80))</f>
        <v/>
      </c>
      <c r="X80">
        <f>IF(S80&gt;40000,"A",IF(S80&gt;8000,"B","C"))</f>
        <v/>
      </c>
      <c r="Y80">
        <f>UPPER(TRIM(INDEX('Entity Map'!$E:$E,MATCH($A80,'Entity Map'!$A:$A,0))))</f>
        <v/>
      </c>
      <c r="Z80">
        <f>YEAR($C80)</f>
        <v/>
      </c>
      <c r="AA80">
        <f>IFERROR(VLOOKUP($A80,Overrides!$A:$C,3,FALSE),S80)</f>
        <v/>
      </c>
      <c r="AB80">
        <f>IF(AB80=S80,"","OVERRIDE")</f>
        <v/>
      </c>
      <c r="AC80">
        <f>SUMIFS(Positions!$F:$F,Positions!$E:$E,$Y80)</f>
        <v/>
      </c>
      <c r="AD80">
        <f>IFERROR(E80/AD80,0)</f>
        <v/>
      </c>
      <c r="AE80">
        <f>COUNTIF('Entity Map'!$A:$A,$A80)</f>
        <v/>
      </c>
      <c r="AF80">
        <f>MAX(Positions!$C:$C)</f>
        <v/>
      </c>
      <c r="AG80">
        <f>ROUND(E80*$B$14/10000,2)</f>
        <v/>
      </c>
      <c r="AH80">
        <f>AH80-S80</f>
        <v/>
      </c>
      <c r="AI80">
        <f>AI80*$B$15</f>
        <v/>
      </c>
      <c r="AJ80">
        <f>CONCATENATE($A80," / ",TEXT(AJ80,"0.00"))</f>
        <v/>
      </c>
    </row>
    <row r="81">
      <c r="A81" t="inlineStr">
        <is>
          <t>00063</t>
        </is>
      </c>
      <c r="B81">
        <f>INDEX('Entity Map'!$B:$B,MATCH($A81,'Entity Map'!$A:$A,0))</f>
        <v/>
      </c>
      <c r="C81">
        <f>DATE(2026,11,1)</f>
        <v/>
      </c>
      <c r="D81">
        <f>TEXT($C81,"yyyy-mm")</f>
        <v/>
      </c>
      <c r="E81">
        <f>AVERAGEIFS(Positions!$F:$F,Positions!$A:$A,$A81)</f>
        <v/>
      </c>
      <c r="F81">
        <f>E80</f>
        <v/>
      </c>
      <c r="G81">
        <f>IF($A81=$A80,F80,E81)</f>
        <v/>
      </c>
      <c r="H81">
        <f>VLOOKUP(E81,'Fee Schedule'!$C$5:$E$11,3,TRUE)</f>
        <v/>
      </c>
      <c r="I81">
        <f>VLOOKUP($A81,'Fee Schedule'!$A$5:$E$92,5,FALSE)</f>
        <v/>
      </c>
      <c r="J81">
        <f>INDEX('Entity Map'!$C:$C,MATCH($A81,'Entity Map'!$A:$A,0))</f>
        <v/>
      </c>
      <c r="K81">
        <f>INDEX('Entity Map'!$D:$D,MATCH($A81,'Entity Map'!$A:$A,0))</f>
        <v/>
      </c>
      <c r="L81">
        <f>ROUND(E81*I81/10000,2)</f>
        <v/>
      </c>
      <c r="M81">
        <f>DAY(EOMONTH($C81,0))</f>
        <v/>
      </c>
      <c r="N81">
        <f>DATEDIF($C81,EOMONTH($C81,0),"d")+1</f>
        <v/>
      </c>
      <c r="O81">
        <f>ROUND(L81*N81/M81,2)</f>
        <v/>
      </c>
      <c r="P81">
        <f>MAX(O81,'Fee Schedule'!$H$3)</f>
        <v/>
      </c>
      <c r="Q81">
        <f>MIN(P81,'Fee Schedule'!$H$4)</f>
        <v/>
      </c>
      <c r="R81">
        <f>IFERROR(Q81*'Fee Schedule'!$H$5,0)</f>
        <v/>
      </c>
      <c r="S81">
        <f>ROUND(Q81-R81,2)</f>
        <v/>
      </c>
      <c r="T81">
        <f>LEFT($A81,3)&amp;"-"&amp;$D81</f>
        <v/>
      </c>
      <c r="U81">
        <f>COUNTIFS(Positions!$A:$A,$A81)</f>
        <v/>
      </c>
      <c r="V81">
        <f>SUM($S$19:S81)</f>
        <v/>
      </c>
      <c r="W81">
        <f>SUMPRODUCT(Positions!$F$4:$F$903,--(Positions!$A$4:$A$903=$A81))</f>
        <v/>
      </c>
      <c r="X81">
        <f>IF(S81&gt;40000,"A",IF(S81&gt;8000,"B","C"))</f>
        <v/>
      </c>
      <c r="Y81">
        <f>UPPER(TRIM(INDEX('Entity Map'!$E:$E,MATCH($A81,'Entity Map'!$A:$A,0))))</f>
        <v/>
      </c>
      <c r="Z81">
        <f>YEAR($C81)</f>
        <v/>
      </c>
      <c r="AA81">
        <f>IFERROR(VLOOKUP($A81,Overrides!$A:$C,3,FALSE),S81)</f>
        <v/>
      </c>
      <c r="AB81">
        <f>IF(AB81=S81,"","OVERRIDE")</f>
        <v/>
      </c>
      <c r="AC81">
        <f>SUMIFS(Positions!$F:$F,Positions!$E:$E,$Y81)</f>
        <v/>
      </c>
      <c r="AD81">
        <f>IFERROR(E81/AD81,0)</f>
        <v/>
      </c>
      <c r="AE81">
        <f>COUNTIF('Entity Map'!$A:$A,$A81)</f>
        <v/>
      </c>
      <c r="AF81">
        <f>MAX(Positions!$C:$C)</f>
        <v/>
      </c>
      <c r="AG81">
        <f>ROUND(E81*$B$14/10000,2)</f>
        <v/>
      </c>
      <c r="AH81">
        <f>AH81-S81</f>
        <v/>
      </c>
      <c r="AI81">
        <f>AI81*$B$15</f>
        <v/>
      </c>
      <c r="AJ81">
        <f>CONCATENATE($A81," / ",TEXT(AJ81,"0.00"))</f>
        <v/>
      </c>
    </row>
    <row r="82">
      <c r="A82" t="inlineStr">
        <is>
          <t>00064</t>
        </is>
      </c>
      <c r="B82">
        <f>INDEX('Entity Map'!$B:$B,MATCH($A82,'Entity Map'!$A:$A,0))</f>
        <v/>
      </c>
      <c r="C82">
        <f>DATE(2026,11,1)</f>
        <v/>
      </c>
      <c r="D82">
        <f>TEXT($C82,"yyyy-mm")</f>
        <v/>
      </c>
      <c r="E82">
        <f>AVERAGEIFS(Positions!$F:$F,Positions!$A:$A,$A82)</f>
        <v/>
      </c>
      <c r="F82">
        <f>E81</f>
        <v/>
      </c>
      <c r="G82">
        <f>IF($A82=$A81,F81,E82)</f>
        <v/>
      </c>
      <c r="H82">
        <f>VLOOKUP(E82,'Fee Schedule'!$C$5:$E$11,3,TRUE)</f>
        <v/>
      </c>
      <c r="I82">
        <f>VLOOKUP($A82,'Fee Schedule'!$A$5:$E$92,5,FALSE)</f>
        <v/>
      </c>
      <c r="J82">
        <f>INDEX('Entity Map'!$C:$C,MATCH($A82,'Entity Map'!$A:$A,0))</f>
        <v/>
      </c>
      <c r="K82">
        <f>INDEX('Entity Map'!$D:$D,MATCH($A82,'Entity Map'!$A:$A,0))</f>
        <v/>
      </c>
      <c r="L82">
        <f>ROUND(E82*I82/10000,2)</f>
        <v/>
      </c>
      <c r="M82">
        <f>DAY(EOMONTH($C82,0))</f>
        <v/>
      </c>
      <c r="N82">
        <f>DATEDIF($C82,EOMONTH($C82,0),"d")+1</f>
        <v/>
      </c>
      <c r="O82">
        <f>ROUND(L82*N82/M82,2)</f>
        <v/>
      </c>
      <c r="P82">
        <f>MAX(O82,'Fee Schedule'!$H$3)</f>
        <v/>
      </c>
      <c r="Q82">
        <f>MIN(P82,'Fee Schedule'!$H$4)</f>
        <v/>
      </c>
      <c r="R82">
        <f>IFERROR(Q82*'Fee Schedule'!$H$5,0)</f>
        <v/>
      </c>
      <c r="S82">
        <f>ROUND(Q82-R82,2)</f>
        <v/>
      </c>
      <c r="T82">
        <f>LEFT($A82,3)&amp;"-"&amp;$D82</f>
        <v/>
      </c>
      <c r="U82">
        <f>COUNTIFS(Positions!$A:$A,$A82)</f>
        <v/>
      </c>
      <c r="V82">
        <f>SUM($S$19:S82)</f>
        <v/>
      </c>
      <c r="W82">
        <f>SUMPRODUCT(Positions!$F$4:$F$903,--(Positions!$A$4:$A$903=$A82))</f>
        <v/>
      </c>
      <c r="X82">
        <f>IF(S82&gt;40000,"A",IF(S82&gt;8000,"B","C"))</f>
        <v/>
      </c>
      <c r="Y82">
        <f>UPPER(TRIM(INDEX('Entity Map'!$E:$E,MATCH($A82,'Entity Map'!$A:$A,0))))</f>
        <v/>
      </c>
      <c r="Z82">
        <f>YEAR($C82)</f>
        <v/>
      </c>
      <c r="AA82">
        <f>IFERROR(VLOOKUP($A82,Overrides!$A:$C,3,FALSE),S82)</f>
        <v/>
      </c>
      <c r="AB82">
        <f>IF(AB82=S82,"","OVERRIDE")</f>
        <v/>
      </c>
      <c r="AC82">
        <f>SUMIFS(Positions!$F:$F,Positions!$E:$E,$Y82)</f>
        <v/>
      </c>
      <c r="AD82">
        <f>IFERROR(E82/AD82,0)</f>
        <v/>
      </c>
      <c r="AE82">
        <f>COUNTIF('Entity Map'!$A:$A,$A82)</f>
        <v/>
      </c>
      <c r="AF82">
        <f>MAX(Positions!$C:$C)</f>
        <v/>
      </c>
      <c r="AG82">
        <f>ROUND(E82*$B$14/10000,2)</f>
        <v/>
      </c>
      <c r="AH82">
        <f>AH82-S82</f>
        <v/>
      </c>
      <c r="AI82">
        <f>AI82*$B$15</f>
        <v/>
      </c>
      <c r="AJ82">
        <f>CONCATENATE($A82," / ",TEXT(AJ82,"0.00"))</f>
        <v/>
      </c>
    </row>
    <row r="83">
      <c r="A83" t="inlineStr">
        <is>
          <t>00065</t>
        </is>
      </c>
      <c r="B83">
        <f>INDEX('Entity Map'!$B:$B,MATCH($A83,'Entity Map'!$A:$A,0))</f>
        <v/>
      </c>
      <c r="C83">
        <f>DATE(2026,11,1)</f>
        <v/>
      </c>
      <c r="D83">
        <f>TEXT($C83,"yyyy-mm")</f>
        <v/>
      </c>
      <c r="E83">
        <f>AVERAGEIFS(Positions!$F:$F,Positions!$A:$A,$A83)</f>
        <v/>
      </c>
      <c r="F83">
        <f>E82</f>
        <v/>
      </c>
      <c r="G83">
        <f>IF($A83=$A82,F82,E83)</f>
        <v/>
      </c>
      <c r="H83">
        <f>VLOOKUP(E83,'Fee Schedule'!$C$5:$E$11,3,TRUE)</f>
        <v/>
      </c>
      <c r="I83">
        <f>VLOOKUP($A83,'Fee Schedule'!$A$5:$E$92,5,FALSE)</f>
        <v/>
      </c>
      <c r="J83">
        <f>INDEX('Entity Map'!$C:$C,MATCH($A83,'Entity Map'!$A:$A,0))</f>
        <v/>
      </c>
      <c r="K83">
        <f>INDEX('Entity Map'!$D:$D,MATCH($A83,'Entity Map'!$A:$A,0))</f>
        <v/>
      </c>
      <c r="L83">
        <f>ROUND(E83*I83/10000,2)</f>
        <v/>
      </c>
      <c r="M83">
        <f>DAY(EOMONTH($C83,0))</f>
        <v/>
      </c>
      <c r="N83">
        <f>DATEDIF($C83,EOMONTH($C83,0),"d")+1</f>
        <v/>
      </c>
      <c r="O83">
        <f>ROUND(L83*N83/M83,2)</f>
        <v/>
      </c>
      <c r="P83">
        <f>MAX(O83,'Fee Schedule'!$H$3)</f>
        <v/>
      </c>
      <c r="Q83">
        <f>MIN(P83,'Fee Schedule'!$H$4)</f>
        <v/>
      </c>
      <c r="R83">
        <f>IFERROR(Q83*'Fee Schedule'!$H$5,0)</f>
        <v/>
      </c>
      <c r="S83">
        <f>ROUND(Q83-R83,2)</f>
        <v/>
      </c>
      <c r="T83">
        <f>LEFT($A83,3)&amp;"-"&amp;$D83</f>
        <v/>
      </c>
      <c r="U83">
        <f>COUNTIFS(Positions!$A:$A,$A83)</f>
        <v/>
      </c>
      <c r="V83">
        <f>SUM($S$19:S83)</f>
        <v/>
      </c>
      <c r="W83">
        <f>SUMPRODUCT(Positions!$F$4:$F$903,--(Positions!$A$4:$A$903=$A83))</f>
        <v/>
      </c>
      <c r="X83">
        <f>IF(S83&gt;40000,"A",IF(S83&gt;8000,"B","C"))</f>
        <v/>
      </c>
      <c r="Y83">
        <f>UPPER(TRIM(INDEX('Entity Map'!$E:$E,MATCH($A83,'Entity Map'!$A:$A,0))))</f>
        <v/>
      </c>
      <c r="Z83">
        <f>YEAR($C83)</f>
        <v/>
      </c>
      <c r="AA83">
        <f>IFERROR(VLOOKUP($A83,Overrides!$A:$C,3,FALSE),S83)</f>
        <v/>
      </c>
      <c r="AB83">
        <f>IF(AB83=S83,"","OVERRIDE")</f>
        <v/>
      </c>
      <c r="AC83">
        <f>SUMIFS(Positions!$F:$F,Positions!$E:$E,$Y83)</f>
        <v/>
      </c>
      <c r="AD83">
        <f>IFERROR(E83/AD83,0)</f>
        <v/>
      </c>
      <c r="AE83">
        <f>COUNTIF('Entity Map'!$A:$A,$A83)</f>
        <v/>
      </c>
      <c r="AF83">
        <f>MAX(Positions!$C:$C)</f>
        <v/>
      </c>
      <c r="AG83">
        <f>ROUND(E83*$B$14/10000,2)</f>
        <v/>
      </c>
      <c r="AH83">
        <f>AH83-S83</f>
        <v/>
      </c>
      <c r="AI83">
        <f>AI83*$B$15</f>
        <v/>
      </c>
      <c r="AJ83">
        <f>CONCATENATE($A83," / ",TEXT(AJ83,"0.00"))</f>
        <v/>
      </c>
    </row>
    <row r="84">
      <c r="A84" t="inlineStr">
        <is>
          <t>00066</t>
        </is>
      </c>
      <c r="B84">
        <f>INDEX('Entity Map'!$B:$B,MATCH($A84,'Entity Map'!$A:$A,0))</f>
        <v/>
      </c>
      <c r="C84">
        <f>DATE(2026,11,1)</f>
        <v/>
      </c>
      <c r="D84">
        <f>TEXT($C84,"yyyy-mm")</f>
        <v/>
      </c>
      <c r="E84">
        <f>AVERAGEIFS(Positions!$F:$F,Positions!$A:$A,$A84)</f>
        <v/>
      </c>
      <c r="F84">
        <f>E83</f>
        <v/>
      </c>
      <c r="G84">
        <f>IF($A84=$A83,F83,E84)</f>
        <v/>
      </c>
      <c r="H84">
        <f>VLOOKUP(E84,'Fee Schedule'!$C$5:$E$11,3,TRUE)</f>
        <v/>
      </c>
      <c r="I84">
        <f>VLOOKUP($A84,'Fee Schedule'!$A$5:$E$92,5,FALSE)</f>
        <v/>
      </c>
      <c r="J84">
        <f>INDEX('Entity Map'!$C:$C,MATCH($A84,'Entity Map'!$A:$A,0))</f>
        <v/>
      </c>
      <c r="K84">
        <f>INDEX('Entity Map'!$D:$D,MATCH($A84,'Entity Map'!$A:$A,0))</f>
        <v/>
      </c>
      <c r="L84">
        <f>ROUND(E84*I84/10000,2)</f>
        <v/>
      </c>
      <c r="M84">
        <f>DAY(EOMONTH($C84,0))</f>
        <v/>
      </c>
      <c r="N84">
        <f>DATEDIF($C84,EOMONTH($C84,0),"d")+1</f>
        <v/>
      </c>
      <c r="O84">
        <f>ROUND(L84*N84/M84,2)</f>
        <v/>
      </c>
      <c r="P84">
        <f>MAX(O84,'Fee Schedule'!$H$3)</f>
        <v/>
      </c>
      <c r="Q84">
        <f>MIN(P84,'Fee Schedule'!$H$4)</f>
        <v/>
      </c>
      <c r="R84">
        <f>IFERROR(Q84*'Fee Schedule'!$H$5,0)</f>
        <v/>
      </c>
      <c r="S84">
        <f>ROUND(Q84-R84,2)</f>
        <v/>
      </c>
      <c r="T84">
        <f>LEFT($A84,3)&amp;"-"&amp;$D84</f>
        <v/>
      </c>
      <c r="U84">
        <f>COUNTIFS(Positions!$A:$A,$A84)</f>
        <v/>
      </c>
      <c r="V84">
        <f>SUM($S$19:S84)</f>
        <v/>
      </c>
      <c r="W84">
        <f>SUMPRODUCT(Positions!$F$4:$F$903,--(Positions!$A$4:$A$903=$A84))</f>
        <v/>
      </c>
      <c r="X84">
        <f>IF(S84&gt;40000,"A",IF(S84&gt;8000,"B","C"))</f>
        <v/>
      </c>
      <c r="Y84">
        <f>UPPER(TRIM(INDEX('Entity Map'!$E:$E,MATCH($A84,'Entity Map'!$A:$A,0))))</f>
        <v/>
      </c>
      <c r="Z84">
        <f>YEAR($C84)</f>
        <v/>
      </c>
      <c r="AA84">
        <f>IFERROR(VLOOKUP($A84,Overrides!$A:$C,3,FALSE),S84)</f>
        <v/>
      </c>
      <c r="AB84">
        <f>IF(AB84=S84,"","OVERRIDE")</f>
        <v/>
      </c>
      <c r="AC84">
        <f>SUMIFS(Positions!$F:$F,Positions!$E:$E,$Y84)</f>
        <v/>
      </c>
      <c r="AD84">
        <f>IFERROR(E84/AD84,0)</f>
        <v/>
      </c>
      <c r="AE84">
        <f>COUNTIF('Entity Map'!$A:$A,$A84)</f>
        <v/>
      </c>
      <c r="AF84">
        <f>MAX(Positions!$C:$C)</f>
        <v/>
      </c>
      <c r="AG84">
        <f>ROUND(E84*$B$14/10000,2)</f>
        <v/>
      </c>
      <c r="AH84">
        <f>AH84-S84</f>
        <v/>
      </c>
      <c r="AI84">
        <f>AI84*$B$15</f>
        <v/>
      </c>
      <c r="AJ84">
        <f>CONCATENATE($A84," / ",TEXT(AJ84,"0.00"))</f>
        <v/>
      </c>
    </row>
    <row r="85">
      <c r="A85" t="inlineStr">
        <is>
          <t>00067</t>
        </is>
      </c>
      <c r="B85">
        <f>INDEX('Entity Map'!$B:$B,MATCH($A85,'Entity Map'!$A:$A,0))</f>
        <v/>
      </c>
      <c r="C85">
        <f>DATE(2026,11,1)</f>
        <v/>
      </c>
      <c r="D85">
        <f>TEXT($C85,"yyyy-mm")</f>
        <v/>
      </c>
      <c r="E85">
        <f>AVERAGEIFS(Positions!$F:$F,Positions!$A:$A,$A85)</f>
        <v/>
      </c>
      <c r="F85">
        <f>E84</f>
        <v/>
      </c>
      <c r="G85">
        <f>IF($A85=$A84,F84,E85)</f>
        <v/>
      </c>
      <c r="H85">
        <f>VLOOKUP(E85,'Fee Schedule'!$C$5:$E$11,3,TRUE)</f>
        <v/>
      </c>
      <c r="I85">
        <f>VLOOKUP($A85,'Fee Schedule'!$A$5:$E$92,5,FALSE)</f>
        <v/>
      </c>
      <c r="J85">
        <f>INDEX('Entity Map'!$C:$C,MATCH($A85,'Entity Map'!$A:$A,0))</f>
        <v/>
      </c>
      <c r="K85">
        <f>INDEX('Entity Map'!$D:$D,MATCH($A85,'Entity Map'!$A:$A,0))</f>
        <v/>
      </c>
      <c r="L85">
        <f>ROUND(E85*I85/10000,2)</f>
        <v/>
      </c>
      <c r="M85">
        <f>DAY(EOMONTH($C85,0))</f>
        <v/>
      </c>
      <c r="N85">
        <f>DATEDIF($C85,EOMONTH($C85,0),"d")+1</f>
        <v/>
      </c>
      <c r="O85">
        <f>ROUND(L85*N85/M85,2)</f>
        <v/>
      </c>
      <c r="P85">
        <f>MAX(O85,'Fee Schedule'!$H$3)</f>
        <v/>
      </c>
      <c r="Q85">
        <f>MIN(P85,'Fee Schedule'!$H$4)</f>
        <v/>
      </c>
      <c r="R85">
        <f>IFERROR(Q85*'Fee Schedule'!$H$5,0)</f>
        <v/>
      </c>
      <c r="S85">
        <f>ROUND(Q85-R85,2)</f>
        <v/>
      </c>
      <c r="T85">
        <f>LEFT($A85,3)&amp;"-"&amp;$D85</f>
        <v/>
      </c>
      <c r="U85">
        <f>COUNTIFS(Positions!$A:$A,$A85)</f>
        <v/>
      </c>
      <c r="V85">
        <f>SUM($S$19:S85)</f>
        <v/>
      </c>
      <c r="W85">
        <f>SUMPRODUCT(Positions!$F$4:$F$903,--(Positions!$A$4:$A$903=$A85))</f>
        <v/>
      </c>
      <c r="X85">
        <f>IF(S85&gt;40000,"A",IF(S85&gt;8000,"B","C"))</f>
        <v/>
      </c>
      <c r="Y85">
        <f>UPPER(TRIM(INDEX('Entity Map'!$E:$E,MATCH($A85,'Entity Map'!$A:$A,0))))</f>
        <v/>
      </c>
      <c r="Z85">
        <f>YEAR($C85)</f>
        <v/>
      </c>
      <c r="AA85">
        <f>IFERROR(VLOOKUP($A85,Overrides!$A:$C,3,FALSE),S85)</f>
        <v/>
      </c>
      <c r="AB85">
        <f>IF(AB85=S85,"","OVERRIDE")</f>
        <v/>
      </c>
      <c r="AC85">
        <f>SUMIFS(Positions!$F:$F,Positions!$E:$E,$Y85)</f>
        <v/>
      </c>
      <c r="AD85">
        <f>IFERROR(E85/AD85,0)</f>
        <v/>
      </c>
      <c r="AE85">
        <f>COUNTIF('Entity Map'!$A:$A,$A85)</f>
        <v/>
      </c>
      <c r="AF85">
        <f>MAX(Positions!$C:$C)</f>
        <v/>
      </c>
      <c r="AG85">
        <f>ROUND(E85*$B$14/10000,2)</f>
        <v/>
      </c>
      <c r="AH85">
        <f>AH85-S85</f>
        <v/>
      </c>
      <c r="AI85">
        <f>AI85*$B$15</f>
        <v/>
      </c>
      <c r="AJ85">
        <f>CONCATENATE($A85," / ",TEXT(AJ85,"0.00"))</f>
        <v/>
      </c>
    </row>
    <row r="86">
      <c r="A86" t="inlineStr">
        <is>
          <t>00068</t>
        </is>
      </c>
      <c r="B86">
        <f>INDEX('Entity Map'!$B:$B,MATCH($A86,'Entity Map'!$A:$A,0))</f>
        <v/>
      </c>
      <c r="C86">
        <f>DATE(2026,11,1)</f>
        <v/>
      </c>
      <c r="D86">
        <f>TEXT($C86,"yyyy-mm")</f>
        <v/>
      </c>
      <c r="E86">
        <f>AVERAGEIFS(Positions!$F:$F,Positions!$A:$A,$A86)</f>
        <v/>
      </c>
      <c r="F86">
        <f>E85</f>
        <v/>
      </c>
      <c r="G86">
        <f>IF($A86=$A85,F85,E86)</f>
        <v/>
      </c>
      <c r="H86">
        <f>VLOOKUP(E86,'Fee Schedule'!$C$5:$E$11,3,TRUE)</f>
        <v/>
      </c>
      <c r="I86">
        <f>VLOOKUP($A86,'Fee Schedule'!$A$5:$E$92,5,FALSE)</f>
        <v/>
      </c>
      <c r="J86">
        <f>INDEX('Entity Map'!$C:$C,MATCH($A86,'Entity Map'!$A:$A,0))</f>
        <v/>
      </c>
      <c r="K86">
        <f>INDEX('Entity Map'!$D:$D,MATCH($A86,'Entity Map'!$A:$A,0))</f>
        <v/>
      </c>
      <c r="L86">
        <f>ROUND(E86*I86/10000,2)</f>
        <v/>
      </c>
      <c r="M86">
        <f>DAY(EOMONTH($C86,0))</f>
        <v/>
      </c>
      <c r="N86">
        <f>DATEDIF($C86,EOMONTH($C86,0),"d")+1</f>
        <v/>
      </c>
      <c r="O86">
        <f>ROUND(L86*N86/M86,2)</f>
        <v/>
      </c>
      <c r="P86">
        <f>MAX(O86,'Fee Schedule'!$H$3)</f>
        <v/>
      </c>
      <c r="Q86">
        <f>MIN(P86,'Fee Schedule'!$H$4)</f>
        <v/>
      </c>
      <c r="R86">
        <f>IFERROR(Q86*'Fee Schedule'!$H$5,0)</f>
        <v/>
      </c>
      <c r="S86">
        <f>ROUND(Q86-R86,2)</f>
        <v/>
      </c>
      <c r="T86">
        <f>LEFT($A86,3)&amp;"-"&amp;$D86</f>
        <v/>
      </c>
      <c r="U86">
        <f>COUNTIFS(Positions!$A:$A,$A86)</f>
        <v/>
      </c>
      <c r="V86">
        <f>SUM($S$19:S86)</f>
        <v/>
      </c>
      <c r="W86">
        <f>SUMPRODUCT(Positions!$F$4:$F$903,--(Positions!$A$4:$A$903=$A86))</f>
        <v/>
      </c>
      <c r="X86">
        <f>IF(S86&gt;40000,"A",IF(S86&gt;8000,"B","C"))</f>
        <v/>
      </c>
      <c r="Y86">
        <f>UPPER(TRIM(INDEX('Entity Map'!$E:$E,MATCH($A86,'Entity Map'!$A:$A,0))))</f>
        <v/>
      </c>
      <c r="Z86">
        <f>YEAR($C86)</f>
        <v/>
      </c>
      <c r="AA86">
        <f>IFERROR(VLOOKUP($A86,Overrides!$A:$C,3,FALSE),S86)</f>
        <v/>
      </c>
      <c r="AB86">
        <f>IF(AB86=S86,"","OVERRIDE")</f>
        <v/>
      </c>
      <c r="AC86">
        <f>SUMIFS(Positions!$F:$F,Positions!$E:$E,$Y86)</f>
        <v/>
      </c>
      <c r="AD86">
        <f>IFERROR(E86/AD86,0)</f>
        <v/>
      </c>
      <c r="AE86">
        <f>COUNTIF('Entity Map'!$A:$A,$A86)</f>
        <v/>
      </c>
      <c r="AF86">
        <f>MAX(Positions!$C:$C)</f>
        <v/>
      </c>
      <c r="AG86">
        <f>ROUND(E86*$B$14/10000,2)</f>
        <v/>
      </c>
      <c r="AH86">
        <f>AH86-S86</f>
        <v/>
      </c>
      <c r="AI86">
        <f>AI86*$B$15</f>
        <v/>
      </c>
      <c r="AJ86">
        <f>CONCATENATE($A86," / ",TEXT(AJ86,"0.00"))</f>
        <v/>
      </c>
    </row>
    <row r="87">
      <c r="A87" t="inlineStr">
        <is>
          <t>00069</t>
        </is>
      </c>
      <c r="B87">
        <f>INDEX('Entity Map'!$B:$B,MATCH($A87,'Entity Map'!$A:$A,0))</f>
        <v/>
      </c>
      <c r="C87">
        <f>DATE(2026,11,1)</f>
        <v/>
      </c>
      <c r="D87">
        <f>TEXT($C87,"yyyy-mm")</f>
        <v/>
      </c>
      <c r="E87">
        <f>AVERAGEIFS(Positions!$F:$F,Positions!$A:$A,$A87)</f>
        <v/>
      </c>
      <c r="F87">
        <f>E86</f>
        <v/>
      </c>
      <c r="G87">
        <f>IF($A87=$A86,F86,E87)</f>
        <v/>
      </c>
      <c r="H87">
        <f>VLOOKUP(E87,'Fee Schedule'!$C$5:$E$11,3,TRUE)</f>
        <v/>
      </c>
      <c r="I87">
        <f>VLOOKUP($A87,'Fee Schedule'!$A$5:$E$92,5,FALSE)</f>
        <v/>
      </c>
      <c r="J87">
        <f>INDEX('Entity Map'!$C:$C,MATCH($A87,'Entity Map'!$A:$A,0))</f>
        <v/>
      </c>
      <c r="K87">
        <f>INDEX('Entity Map'!$D:$D,MATCH($A87,'Entity Map'!$A:$A,0))</f>
        <v/>
      </c>
      <c r="L87">
        <f>ROUND(E87*I87/10000,2)</f>
        <v/>
      </c>
      <c r="M87">
        <f>DAY(EOMONTH($C87,0))</f>
        <v/>
      </c>
      <c r="N87">
        <f>DATEDIF($C87,EOMONTH($C87,0),"d")+1</f>
        <v/>
      </c>
      <c r="O87">
        <f>ROUND(L87*N87/M87,2)</f>
        <v/>
      </c>
      <c r="P87">
        <f>MAX(O87,'Fee Schedule'!$H$3)</f>
        <v/>
      </c>
      <c r="Q87">
        <f>MIN(P87,'Fee Schedule'!$H$4)</f>
        <v/>
      </c>
      <c r="R87">
        <f>IFERROR(Q87*'Fee Schedule'!$H$5,0)</f>
        <v/>
      </c>
      <c r="S87">
        <f>ROUND(Q87-R87,2)</f>
        <v/>
      </c>
      <c r="T87">
        <f>LEFT($A87,3)&amp;"-"&amp;$D87</f>
        <v/>
      </c>
      <c r="U87">
        <f>COUNTIFS(Positions!$A:$A,$A87)</f>
        <v/>
      </c>
      <c r="V87">
        <f>SUM($S$19:S87)</f>
        <v/>
      </c>
      <c r="W87">
        <f>SUMPRODUCT(Positions!$F$4:$F$903,--(Positions!$A$4:$A$903=$A87))</f>
        <v/>
      </c>
      <c r="X87">
        <f>IF(S87&gt;40000,"A",IF(S87&gt;8000,"B","C"))</f>
        <v/>
      </c>
      <c r="Y87">
        <f>UPPER(TRIM(INDEX('Entity Map'!$E:$E,MATCH($A87,'Entity Map'!$A:$A,0))))</f>
        <v/>
      </c>
      <c r="Z87">
        <f>YEAR($C87)</f>
        <v/>
      </c>
      <c r="AA87">
        <f>IFERROR(VLOOKUP($A87,Overrides!$A:$C,3,FALSE),S87)</f>
        <v/>
      </c>
      <c r="AB87">
        <f>IF(AB87=S87,"","OVERRIDE")</f>
        <v/>
      </c>
      <c r="AC87">
        <f>SUMIFS(Positions!$F:$F,Positions!$E:$E,$Y87)</f>
        <v/>
      </c>
      <c r="AD87">
        <f>IFERROR(E87/AD87,0)</f>
        <v/>
      </c>
      <c r="AE87">
        <f>COUNTIF('Entity Map'!$A:$A,$A87)</f>
        <v/>
      </c>
      <c r="AF87">
        <f>MAX(Positions!$C:$C)</f>
        <v/>
      </c>
      <c r="AG87">
        <f>ROUND(E87*$B$14/10000,2)</f>
        <v/>
      </c>
      <c r="AH87">
        <f>AH87-S87</f>
        <v/>
      </c>
      <c r="AI87">
        <f>AI87*$B$15</f>
        <v/>
      </c>
      <c r="AJ87">
        <f>CONCATENATE($A87," / ",TEXT(AJ87,"0.00"))</f>
        <v/>
      </c>
    </row>
    <row r="88">
      <c r="A88" t="inlineStr">
        <is>
          <t>00070</t>
        </is>
      </c>
      <c r="B88">
        <f>INDEX('Entity Map'!$B:$B,MATCH($A88,'Entity Map'!$A:$A,0))</f>
        <v/>
      </c>
      <c r="C88">
        <f>DATE(2026,11,1)</f>
        <v/>
      </c>
      <c r="D88">
        <f>TEXT($C88,"yyyy-mm")</f>
        <v/>
      </c>
      <c r="E88">
        <f>AVERAGEIFS(Positions!$F:$F,Positions!$A:$A,$A88)</f>
        <v/>
      </c>
      <c r="F88">
        <f>E87</f>
        <v/>
      </c>
      <c r="G88">
        <f>IF($A88=$A87,F87,E88)</f>
        <v/>
      </c>
      <c r="H88">
        <f>VLOOKUP(E88,'Fee Schedule'!$C$5:$E$11,3,TRUE)</f>
        <v/>
      </c>
      <c r="I88">
        <f>VLOOKUP($A88,'Fee Schedule'!$A$5:$E$92,5,FALSE)</f>
        <v/>
      </c>
      <c r="J88">
        <f>INDEX('Entity Map'!$C:$C,MATCH($A88,'Entity Map'!$A:$A,0))</f>
        <v/>
      </c>
      <c r="K88">
        <f>INDEX('Entity Map'!$D:$D,MATCH($A88,'Entity Map'!$A:$A,0))</f>
        <v/>
      </c>
      <c r="L88">
        <f>ROUND(E88*I88/10000,2)</f>
        <v/>
      </c>
      <c r="M88">
        <f>DAY(EOMONTH($C88,0))</f>
        <v/>
      </c>
      <c r="N88">
        <f>DATEDIF($C88,EOMONTH($C88,0),"d")+1</f>
        <v/>
      </c>
      <c r="O88">
        <f>ROUND(L88*N88/M88,2)</f>
        <v/>
      </c>
      <c r="P88">
        <f>MAX(O88,'Fee Schedule'!$H$3)</f>
        <v/>
      </c>
      <c r="Q88">
        <f>MIN(P88,'Fee Schedule'!$H$4)</f>
        <v/>
      </c>
      <c r="R88">
        <f>IFERROR(Q88*'Fee Schedule'!$H$5,0)</f>
        <v/>
      </c>
      <c r="S88">
        <f>ROUND(Q88-R88,2)</f>
        <v/>
      </c>
      <c r="T88">
        <f>LEFT($A88,3)&amp;"-"&amp;$D88</f>
        <v/>
      </c>
      <c r="U88">
        <f>COUNTIFS(Positions!$A:$A,$A88)</f>
        <v/>
      </c>
      <c r="V88">
        <f>SUM($S$19:S88)</f>
        <v/>
      </c>
      <c r="W88">
        <f>SUMPRODUCT(Positions!$F$4:$F$903,--(Positions!$A$4:$A$903=$A88))</f>
        <v/>
      </c>
      <c r="X88">
        <f>IF(S88&gt;40000,"A",IF(S88&gt;8000,"B","C"))</f>
        <v/>
      </c>
      <c r="Y88">
        <f>UPPER(TRIM(INDEX('Entity Map'!$E:$E,MATCH($A88,'Entity Map'!$A:$A,0))))</f>
        <v/>
      </c>
      <c r="Z88">
        <f>YEAR($C88)</f>
        <v/>
      </c>
      <c r="AA88">
        <f>IFERROR(VLOOKUP($A88,Overrides!$A:$C,3,FALSE),S88)</f>
        <v/>
      </c>
      <c r="AB88">
        <f>IF(AB88=S88,"","OVERRIDE")</f>
        <v/>
      </c>
      <c r="AC88">
        <f>SUMIFS(Positions!$F:$F,Positions!$E:$E,$Y88)</f>
        <v/>
      </c>
      <c r="AD88">
        <f>IFERROR(E88/AD88,0)</f>
        <v/>
      </c>
      <c r="AE88">
        <f>COUNTIF('Entity Map'!$A:$A,$A88)</f>
        <v/>
      </c>
      <c r="AF88">
        <f>MAX(Positions!$C:$C)</f>
        <v/>
      </c>
      <c r="AG88">
        <f>ROUND(E88*$B$14/10000,2)</f>
        <v/>
      </c>
      <c r="AH88">
        <f>AH88-S88</f>
        <v/>
      </c>
      <c r="AI88">
        <f>AI88*$B$15</f>
        <v/>
      </c>
      <c r="AJ88">
        <f>CONCATENATE($A88," / ",TEXT(AJ88,"0.00"))</f>
        <v/>
      </c>
    </row>
    <row r="89">
      <c r="A89" t="inlineStr">
        <is>
          <t>00071</t>
        </is>
      </c>
      <c r="B89">
        <f>INDEX('Entity Map'!$B:$B,MATCH($A89,'Entity Map'!$A:$A,0))</f>
        <v/>
      </c>
      <c r="C89">
        <f>DATE(2026,11,1)</f>
        <v/>
      </c>
      <c r="D89">
        <f>TEXT($C89,"yyyy-mm")</f>
        <v/>
      </c>
      <c r="E89">
        <f>AVERAGEIFS(Positions!$F:$F,Positions!$A:$A,$A89)</f>
        <v/>
      </c>
      <c r="F89">
        <f>E88</f>
        <v/>
      </c>
      <c r="G89">
        <f>IF($A89=$A88,F88,E89)</f>
        <v/>
      </c>
      <c r="H89">
        <f>VLOOKUP(E89,'Fee Schedule'!$C$5:$E$11,3,TRUE)</f>
        <v/>
      </c>
      <c r="I89">
        <f>VLOOKUP($A89,'Fee Schedule'!$A$5:$E$92,5,FALSE)</f>
        <v/>
      </c>
      <c r="J89">
        <f>INDEX('Entity Map'!$C:$C,MATCH($A89,'Entity Map'!$A:$A,0))</f>
        <v/>
      </c>
      <c r="K89">
        <f>INDEX('Entity Map'!$D:$D,MATCH($A89,'Entity Map'!$A:$A,0))</f>
        <v/>
      </c>
      <c r="L89">
        <f>ROUND(E89*I89/10000,2)</f>
        <v/>
      </c>
      <c r="M89">
        <f>DAY(EOMONTH($C89,0))</f>
        <v/>
      </c>
      <c r="N89">
        <f>DATEDIF($C89,EOMONTH($C89,0),"d")+1</f>
        <v/>
      </c>
      <c r="O89">
        <f>ROUND(L89*N89/M89,2)</f>
        <v/>
      </c>
      <c r="P89">
        <f>MAX(O89,'Fee Schedule'!$H$3)</f>
        <v/>
      </c>
      <c r="Q89">
        <f>MIN(P89,'Fee Schedule'!$H$4)</f>
        <v/>
      </c>
      <c r="R89">
        <f>IFERROR(Q89*'Fee Schedule'!$H$5,0)</f>
        <v/>
      </c>
      <c r="S89">
        <f>ROUND(Q89-R89,2)</f>
        <v/>
      </c>
      <c r="T89">
        <f>LEFT($A89,3)&amp;"-"&amp;$D89</f>
        <v/>
      </c>
      <c r="U89">
        <f>COUNTIFS(Positions!$A:$A,$A89)</f>
        <v/>
      </c>
      <c r="V89">
        <f>SUM($S$19:S89)</f>
        <v/>
      </c>
      <c r="W89">
        <f>SUMPRODUCT(Positions!$F$4:$F$903,--(Positions!$A$4:$A$903=$A89))</f>
        <v/>
      </c>
      <c r="X89">
        <f>IF(S89&gt;40000,"A",IF(S89&gt;8000,"B","C"))</f>
        <v/>
      </c>
      <c r="Y89">
        <f>UPPER(TRIM(INDEX('Entity Map'!$E:$E,MATCH($A89,'Entity Map'!$A:$A,0))))</f>
        <v/>
      </c>
      <c r="Z89">
        <f>YEAR($C89)</f>
        <v/>
      </c>
      <c r="AA89">
        <f>IFERROR(VLOOKUP($A89,Overrides!$A:$C,3,FALSE),S89)</f>
        <v/>
      </c>
      <c r="AB89">
        <f>IF(AB89=S89,"","OVERRIDE")</f>
        <v/>
      </c>
      <c r="AC89">
        <f>SUMIFS(Positions!$F:$F,Positions!$E:$E,$Y89)</f>
        <v/>
      </c>
      <c r="AD89">
        <f>IFERROR(E89/AD89,0)</f>
        <v/>
      </c>
      <c r="AE89">
        <f>COUNTIF('Entity Map'!$A:$A,$A89)</f>
        <v/>
      </c>
      <c r="AF89">
        <f>MAX(Positions!$C:$C)</f>
        <v/>
      </c>
      <c r="AG89">
        <f>ROUND(E89*$B$14/10000,2)</f>
        <v/>
      </c>
      <c r="AH89">
        <f>AH89-S89</f>
        <v/>
      </c>
      <c r="AI89">
        <f>AI89*$B$15</f>
        <v/>
      </c>
      <c r="AJ89">
        <f>CONCATENATE($A89," / ",TEXT(AJ89,"0.00"))</f>
        <v/>
      </c>
    </row>
    <row r="90">
      <c r="A90" t="inlineStr">
        <is>
          <t>00072</t>
        </is>
      </c>
      <c r="B90">
        <f>INDEX('Entity Map'!$B:$B,MATCH($A90,'Entity Map'!$A:$A,0))</f>
        <v/>
      </c>
      <c r="C90">
        <f>DATE(2026,11,1)</f>
        <v/>
      </c>
      <c r="D90">
        <f>TEXT($C90,"yyyy-mm")</f>
        <v/>
      </c>
      <c r="E90">
        <f>AVERAGEIFS(Positions!$F:$F,Positions!$A:$A,$A90)</f>
        <v/>
      </c>
      <c r="F90">
        <f>E89</f>
        <v/>
      </c>
      <c r="G90">
        <f>IF($A90=$A89,F89,E90)</f>
        <v/>
      </c>
      <c r="H90">
        <f>VLOOKUP(E90,'Fee Schedule'!$C$5:$E$11,3,TRUE)</f>
        <v/>
      </c>
      <c r="I90">
        <f>VLOOKUP($A90,'Fee Schedule'!$A$5:$E$92,5,FALSE)</f>
        <v/>
      </c>
      <c r="J90">
        <f>INDEX('Entity Map'!$C:$C,MATCH($A90,'Entity Map'!$A:$A,0))</f>
        <v/>
      </c>
      <c r="K90">
        <f>INDEX('Entity Map'!$D:$D,MATCH($A90,'Entity Map'!$A:$A,0))</f>
        <v/>
      </c>
      <c r="L90">
        <f>ROUND(E90*I90/10000,2)</f>
        <v/>
      </c>
      <c r="M90">
        <f>DAY(EOMONTH($C90,0))</f>
        <v/>
      </c>
      <c r="N90">
        <f>DATEDIF($C90,EOMONTH($C90,0),"d")+1</f>
        <v/>
      </c>
      <c r="O90">
        <f>ROUND(L90*N90/M90,2)</f>
        <v/>
      </c>
      <c r="P90">
        <f>MAX(O90,'Fee Schedule'!$H$3)</f>
        <v/>
      </c>
      <c r="Q90">
        <f>MIN(P90,'Fee Schedule'!$H$4)</f>
        <v/>
      </c>
      <c r="R90">
        <f>IFERROR(Q90*'Fee Schedule'!$H$5,0)</f>
        <v/>
      </c>
      <c r="S90">
        <f>ROUND(Q90-R90,2)</f>
        <v/>
      </c>
      <c r="T90">
        <f>LEFT($A90,3)&amp;"-"&amp;$D90</f>
        <v/>
      </c>
      <c r="U90">
        <f>COUNTIFS(Positions!$A:$A,$A90)</f>
        <v/>
      </c>
      <c r="V90">
        <f>SUM($S$19:S90)</f>
        <v/>
      </c>
      <c r="W90">
        <f>SUMPRODUCT(Positions!$F$4:$F$903,--(Positions!$A$4:$A$903=$A90))</f>
        <v/>
      </c>
      <c r="X90">
        <f>IF(S90&gt;40000,"A",IF(S90&gt;8000,"B","C"))</f>
        <v/>
      </c>
      <c r="Y90">
        <f>UPPER(TRIM(INDEX('Entity Map'!$E:$E,MATCH($A90,'Entity Map'!$A:$A,0))))</f>
        <v/>
      </c>
      <c r="Z90">
        <f>YEAR($C90)</f>
        <v/>
      </c>
      <c r="AA90">
        <f>IFERROR(VLOOKUP($A90,Overrides!$A:$C,3,FALSE),S90)</f>
        <v/>
      </c>
      <c r="AB90">
        <f>IF(AB90=S90,"","OVERRIDE")</f>
        <v/>
      </c>
      <c r="AC90">
        <f>SUMIFS(Positions!$F:$F,Positions!$E:$E,$Y90)</f>
        <v/>
      </c>
      <c r="AD90">
        <f>IFERROR(E90/AD90,0)</f>
        <v/>
      </c>
      <c r="AE90">
        <f>COUNTIF('Entity Map'!$A:$A,$A90)</f>
        <v/>
      </c>
      <c r="AF90">
        <f>MAX(Positions!$C:$C)</f>
        <v/>
      </c>
      <c r="AG90">
        <f>ROUND(E90*$B$14/10000,2)</f>
        <v/>
      </c>
      <c r="AH90">
        <f>AH90-S90</f>
        <v/>
      </c>
      <c r="AI90">
        <f>AI90*$B$15</f>
        <v/>
      </c>
      <c r="AJ90">
        <f>CONCATENATE($A90," / ",TEXT(AJ90,"0.00"))</f>
        <v/>
      </c>
    </row>
    <row r="91">
      <c r="A91" t="inlineStr">
        <is>
          <t>00073</t>
        </is>
      </c>
      <c r="B91">
        <f>INDEX('Entity Map'!$B:$B,MATCH($A91,'Entity Map'!$A:$A,0))</f>
        <v/>
      </c>
      <c r="C91">
        <f>DATE(2026,11,1)</f>
        <v/>
      </c>
      <c r="D91">
        <f>TEXT($C91,"yyyy-mm")</f>
        <v/>
      </c>
      <c r="E91">
        <f>AVERAGEIFS(Positions!$F:$F,Positions!$A:$A,$A91)</f>
        <v/>
      </c>
      <c r="F91">
        <f>E90</f>
        <v/>
      </c>
      <c r="G91">
        <f>IF($A91=$A90,F90,E91)</f>
        <v/>
      </c>
      <c r="H91">
        <f>VLOOKUP(E91,'Fee Schedule'!$C$5:$E$11,3,TRUE)</f>
        <v/>
      </c>
      <c r="I91">
        <f>VLOOKUP($A91,'Fee Schedule'!$A$5:$E$92,5,FALSE)</f>
        <v/>
      </c>
      <c r="J91">
        <f>INDEX('Entity Map'!$C:$C,MATCH($A91,'Entity Map'!$A:$A,0))</f>
        <v/>
      </c>
      <c r="K91">
        <f>INDEX('Entity Map'!$D:$D,MATCH($A91,'Entity Map'!$A:$A,0))</f>
        <v/>
      </c>
      <c r="L91">
        <f>ROUND(E91*I91/10000,2)</f>
        <v/>
      </c>
      <c r="M91">
        <f>DAY(EOMONTH($C91,0))</f>
        <v/>
      </c>
      <c r="N91">
        <f>DATEDIF($C91,EOMONTH($C91,0),"d")+1</f>
        <v/>
      </c>
      <c r="O91">
        <f>ROUND(L91*N91/M91,2)</f>
        <v/>
      </c>
      <c r="P91">
        <f>MAX(O91,'Fee Schedule'!$H$3)</f>
        <v/>
      </c>
      <c r="Q91">
        <f>MIN(P91,'Fee Schedule'!$H$4)</f>
        <v/>
      </c>
      <c r="R91">
        <f>IFERROR(Q91*'Fee Schedule'!$H$5,0)</f>
        <v/>
      </c>
      <c r="S91">
        <f>ROUND(Q91-R91,2)</f>
        <v/>
      </c>
      <c r="T91">
        <f>LEFT($A91,3)&amp;"-"&amp;$D91</f>
        <v/>
      </c>
      <c r="U91">
        <f>COUNTIFS(Positions!$A:$A,$A91)</f>
        <v/>
      </c>
      <c r="V91">
        <f>SUM($S$19:S91)</f>
        <v/>
      </c>
      <c r="W91">
        <f>SUMPRODUCT(Positions!$F$4:$F$903,--(Positions!$A$4:$A$903=$A91))</f>
        <v/>
      </c>
      <c r="X91">
        <f>IF(S91&gt;40000,"A",IF(S91&gt;8000,"B","C"))</f>
        <v/>
      </c>
      <c r="Y91">
        <f>UPPER(TRIM(INDEX('Entity Map'!$E:$E,MATCH($A91,'Entity Map'!$A:$A,0))))</f>
        <v/>
      </c>
      <c r="Z91">
        <f>YEAR($C91)</f>
        <v/>
      </c>
      <c r="AA91">
        <f>IFERROR(VLOOKUP($A91,Overrides!$A:$C,3,FALSE),S91)</f>
        <v/>
      </c>
      <c r="AB91">
        <f>IF(AB91=S91,"","OVERRIDE")</f>
        <v/>
      </c>
      <c r="AC91">
        <f>SUMIFS(Positions!$F:$F,Positions!$E:$E,$Y91)</f>
        <v/>
      </c>
      <c r="AD91">
        <f>IFERROR(E91/AD91,0)</f>
        <v/>
      </c>
      <c r="AE91">
        <f>COUNTIF('Entity Map'!$A:$A,$A91)</f>
        <v/>
      </c>
      <c r="AF91">
        <f>MAX(Positions!$C:$C)</f>
        <v/>
      </c>
      <c r="AG91">
        <f>ROUND(E91*$B$14/10000,2)</f>
        <v/>
      </c>
      <c r="AH91">
        <f>AH91-S91</f>
        <v/>
      </c>
      <c r="AI91">
        <f>AI91*$B$15</f>
        <v/>
      </c>
      <c r="AJ91">
        <f>CONCATENATE($A91," / ",TEXT(AJ91,"0.00"))</f>
        <v/>
      </c>
    </row>
    <row r="92">
      <c r="A92" t="inlineStr">
        <is>
          <t>00074</t>
        </is>
      </c>
      <c r="B92">
        <f>INDEX('Entity Map'!$B:$B,MATCH($A92,'Entity Map'!$A:$A,0))</f>
        <v/>
      </c>
      <c r="C92">
        <f>DATE(2026,11,1)</f>
        <v/>
      </c>
      <c r="D92">
        <f>TEXT($C92,"yyyy-mm")</f>
        <v/>
      </c>
      <c r="E92">
        <f>AVERAGEIFS(Positions!$F:$F,Positions!$A:$A,$A92)</f>
        <v/>
      </c>
      <c r="F92">
        <f>E91</f>
        <v/>
      </c>
      <c r="G92">
        <f>IF($A92=$A91,F91,E92)</f>
        <v/>
      </c>
      <c r="H92">
        <f>VLOOKUP(E92,'Fee Schedule'!$C$5:$E$11,3,TRUE)</f>
        <v/>
      </c>
      <c r="I92">
        <f>VLOOKUP($A92,'Fee Schedule'!$A$5:$E$92,5,FALSE)</f>
        <v/>
      </c>
      <c r="J92">
        <f>INDEX('Entity Map'!$C:$C,MATCH($A92,'Entity Map'!$A:$A,0))</f>
        <v/>
      </c>
      <c r="K92">
        <f>INDEX('Entity Map'!$D:$D,MATCH($A92,'Entity Map'!$A:$A,0))</f>
        <v/>
      </c>
      <c r="L92">
        <f>ROUND(E92*I92/10000,2)</f>
        <v/>
      </c>
      <c r="M92">
        <f>DAY(EOMONTH($C92,0))</f>
        <v/>
      </c>
      <c r="N92">
        <f>DATEDIF($C92,EOMONTH($C92,0),"d")+1</f>
        <v/>
      </c>
      <c r="O92">
        <f>ROUND(L92*N92/M92,2)</f>
        <v/>
      </c>
      <c r="P92">
        <f>MAX(O92,'Fee Schedule'!$H$3)</f>
        <v/>
      </c>
      <c r="Q92">
        <f>MIN(P92,'Fee Schedule'!$H$4)</f>
        <v/>
      </c>
      <c r="R92">
        <f>IFERROR(Q92*'Fee Schedule'!$H$5,0)</f>
        <v/>
      </c>
      <c r="S92">
        <f>ROUND(Q92-R92,2)</f>
        <v/>
      </c>
      <c r="T92">
        <f>LEFT($A92,3)&amp;"-"&amp;$D92</f>
        <v/>
      </c>
      <c r="U92">
        <f>COUNTIFS(Positions!$A:$A,$A92)</f>
        <v/>
      </c>
      <c r="V92">
        <f>SUM($S$19:S92)</f>
        <v/>
      </c>
      <c r="W92">
        <f>SUMPRODUCT(Positions!$F$4:$F$903,--(Positions!$A$4:$A$903=$A92))</f>
        <v/>
      </c>
      <c r="X92">
        <f>IF(S92&gt;40000,"A",IF(S92&gt;8000,"B","C"))</f>
        <v/>
      </c>
      <c r="Y92">
        <f>UPPER(TRIM(INDEX('Entity Map'!$E:$E,MATCH($A92,'Entity Map'!$A:$A,0))))</f>
        <v/>
      </c>
      <c r="Z92">
        <f>YEAR($C92)</f>
        <v/>
      </c>
      <c r="AA92">
        <f>IFERROR(VLOOKUP($A92,Overrides!$A:$C,3,FALSE),S92)</f>
        <v/>
      </c>
      <c r="AB92">
        <f>IF(AB92=S92,"","OVERRIDE")</f>
        <v/>
      </c>
      <c r="AC92">
        <f>SUMIFS(Positions!$F:$F,Positions!$E:$E,$Y92)</f>
        <v/>
      </c>
      <c r="AD92">
        <f>IFERROR(E92/AD92,0)</f>
        <v/>
      </c>
      <c r="AE92">
        <f>COUNTIF('Entity Map'!$A:$A,$A92)</f>
        <v/>
      </c>
      <c r="AF92">
        <f>MAX(Positions!$C:$C)</f>
        <v/>
      </c>
      <c r="AG92">
        <f>ROUND(E92*$B$14/10000,2)</f>
        <v/>
      </c>
      <c r="AH92">
        <f>AH92-S92</f>
        <v/>
      </c>
      <c r="AI92">
        <f>AI92*$B$15</f>
        <v/>
      </c>
      <c r="AJ92">
        <f>CONCATENATE($A92," / ",TEXT(AJ92,"0.00"))</f>
        <v/>
      </c>
    </row>
    <row r="93">
      <c r="A93" t="inlineStr">
        <is>
          <t>00075</t>
        </is>
      </c>
      <c r="B93">
        <f>INDEX('Entity Map'!$B:$B,MATCH($A93,'Entity Map'!$A:$A,0))</f>
        <v/>
      </c>
      <c r="C93">
        <f>DATE(2026,11,1)</f>
        <v/>
      </c>
      <c r="D93">
        <f>TEXT($C93,"yyyy-mm")</f>
        <v/>
      </c>
      <c r="E93">
        <f>AVERAGEIFS(Positions!$F:$F,Positions!$A:$A,$A93)</f>
        <v/>
      </c>
      <c r="F93">
        <f>E92</f>
        <v/>
      </c>
      <c r="G93">
        <f>IF($A93=$A92,F92,E93)</f>
        <v/>
      </c>
      <c r="H93">
        <f>VLOOKUP(E93,'Fee Schedule'!$C$5:$E$11,3,TRUE)</f>
        <v/>
      </c>
      <c r="I93">
        <f>VLOOKUP($A93,'Fee Schedule'!$A$5:$E$92,5,FALSE)</f>
        <v/>
      </c>
      <c r="J93">
        <f>INDEX('Entity Map'!$C:$C,MATCH($A93,'Entity Map'!$A:$A,0))</f>
        <v/>
      </c>
      <c r="K93">
        <f>INDEX('Entity Map'!$D:$D,MATCH($A93,'Entity Map'!$A:$A,0))</f>
        <v/>
      </c>
      <c r="L93">
        <f>ROUND(E93*I93/10000,2)</f>
        <v/>
      </c>
      <c r="M93">
        <f>DAY(EOMONTH($C93,0))</f>
        <v/>
      </c>
      <c r="N93">
        <f>DATEDIF($C93,EOMONTH($C93,0),"d")+1</f>
        <v/>
      </c>
      <c r="O93">
        <f>ROUND(L93*N93/M93,2)</f>
        <v/>
      </c>
      <c r="P93">
        <f>MAX(O93,'Fee Schedule'!$H$3)</f>
        <v/>
      </c>
      <c r="Q93">
        <f>MIN(P93,'Fee Schedule'!$H$4)</f>
        <v/>
      </c>
      <c r="R93">
        <f>IFERROR(Q93*'Fee Schedule'!$H$5,0)</f>
        <v/>
      </c>
      <c r="S93">
        <f>ROUND(Q93-R93,2)</f>
        <v/>
      </c>
      <c r="T93">
        <f>LEFT($A93,3)&amp;"-"&amp;$D93</f>
        <v/>
      </c>
      <c r="U93">
        <f>COUNTIFS(Positions!$A:$A,$A93)</f>
        <v/>
      </c>
      <c r="V93">
        <f>SUM($S$19:S93)</f>
        <v/>
      </c>
      <c r="W93">
        <f>SUMPRODUCT(Positions!$F$4:$F$903,--(Positions!$A$4:$A$903=$A93))</f>
        <v/>
      </c>
      <c r="X93">
        <f>IF(S93&gt;40000,"A",IF(S93&gt;8000,"B","C"))</f>
        <v/>
      </c>
      <c r="Y93">
        <f>UPPER(TRIM(INDEX('Entity Map'!$E:$E,MATCH($A93,'Entity Map'!$A:$A,0))))</f>
        <v/>
      </c>
      <c r="Z93">
        <f>YEAR($C93)</f>
        <v/>
      </c>
      <c r="AA93">
        <f>IFERROR(VLOOKUP($A93,Overrides!$A:$C,3,FALSE),S93)</f>
        <v/>
      </c>
      <c r="AB93">
        <f>IF(AB93=S93,"","OVERRIDE")</f>
        <v/>
      </c>
      <c r="AC93">
        <f>SUMIFS(Positions!$F:$F,Positions!$E:$E,$Y93)</f>
        <v/>
      </c>
      <c r="AD93">
        <f>IFERROR(E93/AD93,0)</f>
        <v/>
      </c>
      <c r="AE93">
        <f>COUNTIF('Entity Map'!$A:$A,$A93)</f>
        <v/>
      </c>
      <c r="AF93">
        <f>MAX(Positions!$C:$C)</f>
        <v/>
      </c>
      <c r="AG93">
        <f>ROUND(E93*$B$14/10000,2)</f>
        <v/>
      </c>
      <c r="AH93">
        <f>AH93-S93</f>
        <v/>
      </c>
      <c r="AI93">
        <f>AI93*$B$15</f>
        <v/>
      </c>
      <c r="AJ93">
        <f>CONCATENATE($A93," / ",TEXT(AJ93,"0.00"))</f>
        <v/>
      </c>
    </row>
    <row r="94">
      <c r="A94" t="inlineStr">
        <is>
          <t>00076</t>
        </is>
      </c>
      <c r="B94">
        <f>INDEX('Entity Map'!$B:$B,MATCH($A94,'Entity Map'!$A:$A,0))</f>
        <v/>
      </c>
      <c r="C94">
        <f>DATE(2026,11,1)</f>
        <v/>
      </c>
      <c r="D94">
        <f>TEXT($C94,"yyyy-mm")</f>
        <v/>
      </c>
      <c r="E94">
        <f>AVERAGEIFS(Positions!$F:$F,Positions!$A:$A,$A94)</f>
        <v/>
      </c>
      <c r="F94">
        <f>E93</f>
        <v/>
      </c>
      <c r="G94">
        <f>IF($A94=$A93,F93,E94)</f>
        <v/>
      </c>
      <c r="H94">
        <f>VLOOKUP(E94,'Fee Schedule'!$C$5:$E$11,3,TRUE)</f>
        <v/>
      </c>
      <c r="I94">
        <f>VLOOKUP($A94,'Fee Schedule'!$A$5:$E$92,5,FALSE)</f>
        <v/>
      </c>
      <c r="J94">
        <f>INDEX('Entity Map'!$C:$C,MATCH($A94,'Entity Map'!$A:$A,0))</f>
        <v/>
      </c>
      <c r="K94">
        <f>INDEX('Entity Map'!$D:$D,MATCH($A94,'Entity Map'!$A:$A,0))</f>
        <v/>
      </c>
      <c r="L94">
        <f>ROUND(E94*I94/10000,2)</f>
        <v/>
      </c>
      <c r="M94">
        <f>DAY(EOMONTH($C94,0))</f>
        <v/>
      </c>
      <c r="N94">
        <f>DATEDIF($C94,EOMONTH($C94,0),"d")+1</f>
        <v/>
      </c>
      <c r="O94">
        <f>ROUND(L94*N94/M94,2)</f>
        <v/>
      </c>
      <c r="P94">
        <f>MAX(O94,'Fee Schedule'!$H$3)</f>
        <v/>
      </c>
      <c r="Q94">
        <f>MIN(P94,'Fee Schedule'!$H$4)</f>
        <v/>
      </c>
      <c r="R94">
        <f>IFERROR(Q94*'Fee Schedule'!$H$5,0)</f>
        <v/>
      </c>
      <c r="S94">
        <f>ROUND(Q94-R94,2)</f>
        <v/>
      </c>
      <c r="T94">
        <f>LEFT($A94,3)&amp;"-"&amp;$D94</f>
        <v/>
      </c>
      <c r="U94">
        <f>COUNTIFS(Positions!$A:$A,$A94)</f>
        <v/>
      </c>
      <c r="V94">
        <f>SUM($S$19:S94)</f>
        <v/>
      </c>
      <c r="W94">
        <f>SUMPRODUCT(Positions!$F$4:$F$903,--(Positions!$A$4:$A$903=$A94))</f>
        <v/>
      </c>
      <c r="X94">
        <f>IF(S94&gt;40000,"A",IF(S94&gt;8000,"B","C"))</f>
        <v/>
      </c>
      <c r="Y94">
        <f>UPPER(TRIM(INDEX('Entity Map'!$E:$E,MATCH($A94,'Entity Map'!$A:$A,0))))</f>
        <v/>
      </c>
      <c r="Z94">
        <f>YEAR($C94)</f>
        <v/>
      </c>
      <c r="AA94">
        <f>IFERROR(VLOOKUP($A94,Overrides!$A:$C,3,FALSE),S94)</f>
        <v/>
      </c>
      <c r="AB94">
        <f>IF(AB94=S94,"","OVERRIDE")</f>
        <v/>
      </c>
      <c r="AC94">
        <f>SUMIFS(Positions!$F:$F,Positions!$E:$E,$Y94)</f>
        <v/>
      </c>
      <c r="AD94">
        <f>IFERROR(E94/AD94,0)</f>
        <v/>
      </c>
      <c r="AE94">
        <f>COUNTIF('Entity Map'!$A:$A,$A94)</f>
        <v/>
      </c>
      <c r="AF94">
        <f>MAX(Positions!$C:$C)</f>
        <v/>
      </c>
      <c r="AG94">
        <f>ROUND(E94*$B$14/10000,2)</f>
        <v/>
      </c>
      <c r="AH94">
        <f>AH94-S94</f>
        <v/>
      </c>
      <c r="AI94">
        <f>AI94*$B$15</f>
        <v/>
      </c>
      <c r="AJ94">
        <f>CONCATENATE($A94," / ",TEXT(AJ94,"0.00"))</f>
        <v/>
      </c>
    </row>
    <row r="95">
      <c r="A95" t="inlineStr">
        <is>
          <t>00077</t>
        </is>
      </c>
      <c r="B95">
        <f>INDEX('Entity Map'!$B:$B,MATCH($A95,'Entity Map'!$A:$A,0))</f>
        <v/>
      </c>
      <c r="C95">
        <f>DATE(2026,11,1)</f>
        <v/>
      </c>
      <c r="D95">
        <f>TEXT($C95,"yyyy-mm")</f>
        <v/>
      </c>
      <c r="E95">
        <f>AVERAGEIFS(Positions!$F:$F,Positions!$A:$A,$A95)</f>
        <v/>
      </c>
      <c r="F95">
        <f>E94</f>
        <v/>
      </c>
      <c r="G95">
        <f>IF($A95=$A94,F94,E95)</f>
        <v/>
      </c>
      <c r="H95">
        <f>VLOOKUP(E95,'Fee Schedule'!$C$5:$E$11,3,TRUE)</f>
        <v/>
      </c>
      <c r="I95">
        <f>VLOOKUP($A95,'Fee Schedule'!$A$5:$E$92,5,FALSE)</f>
        <v/>
      </c>
      <c r="J95">
        <f>INDEX('Entity Map'!$C:$C,MATCH($A95,'Entity Map'!$A:$A,0))</f>
        <v/>
      </c>
      <c r="K95">
        <f>INDEX('Entity Map'!$D:$D,MATCH($A95,'Entity Map'!$A:$A,0))</f>
        <v/>
      </c>
      <c r="L95">
        <f>ROUND(E95*I95/10000,2)</f>
        <v/>
      </c>
      <c r="M95">
        <f>DAY(EOMONTH($C95,0))</f>
        <v/>
      </c>
      <c r="N95">
        <f>DATEDIF($C95,EOMONTH($C95,0),"d")+1</f>
        <v/>
      </c>
      <c r="O95">
        <f>ROUND(L95*N95/M95,2)</f>
        <v/>
      </c>
      <c r="P95">
        <f>MAX(O95,'Fee Schedule'!$H$3)</f>
        <v/>
      </c>
      <c r="Q95">
        <f>MIN(P95,'Fee Schedule'!$H$4)</f>
        <v/>
      </c>
      <c r="R95">
        <f>IFERROR(Q95*'Fee Schedule'!$H$5,0)</f>
        <v/>
      </c>
      <c r="S95">
        <f>ROUND(Q95-R95,2)</f>
        <v/>
      </c>
      <c r="T95">
        <f>LEFT($A95,3)&amp;"-"&amp;$D95</f>
        <v/>
      </c>
      <c r="U95">
        <f>COUNTIFS(Positions!$A:$A,$A95)</f>
        <v/>
      </c>
      <c r="V95">
        <f>SUM($S$19:S95)</f>
        <v/>
      </c>
      <c r="W95">
        <f>SUMPRODUCT(Positions!$F$4:$F$903,--(Positions!$A$4:$A$903=$A95))</f>
        <v/>
      </c>
      <c r="X95">
        <f>IF(S95&gt;40000,"A",IF(S95&gt;8000,"B","C"))</f>
        <v/>
      </c>
      <c r="Y95">
        <f>UPPER(TRIM(INDEX('Entity Map'!$E:$E,MATCH($A95,'Entity Map'!$A:$A,0))))</f>
        <v/>
      </c>
      <c r="Z95">
        <f>YEAR($C95)</f>
        <v/>
      </c>
      <c r="AA95">
        <f>IFERROR(VLOOKUP($A95,Overrides!$A:$C,3,FALSE),S95)</f>
        <v/>
      </c>
      <c r="AB95">
        <f>IF(AB95=S95,"","OVERRIDE")</f>
        <v/>
      </c>
      <c r="AC95">
        <f>SUMIFS(Positions!$F:$F,Positions!$E:$E,$Y95)</f>
        <v/>
      </c>
      <c r="AD95">
        <f>IFERROR(E95/AD95,0)</f>
        <v/>
      </c>
      <c r="AE95">
        <f>COUNTIF('Entity Map'!$A:$A,$A95)</f>
        <v/>
      </c>
      <c r="AF95">
        <f>MAX(Positions!$C:$C)</f>
        <v/>
      </c>
      <c r="AG95">
        <f>ROUND(E95*$B$14/10000,2)</f>
        <v/>
      </c>
      <c r="AH95">
        <f>AH95-S95</f>
        <v/>
      </c>
      <c r="AI95">
        <f>AI95*$B$15</f>
        <v/>
      </c>
      <c r="AJ95">
        <f>CONCATENATE($A95," / ",TEXT(AJ95,"0.00"))</f>
        <v/>
      </c>
    </row>
    <row r="96">
      <c r="A96" t="inlineStr">
        <is>
          <t>00078</t>
        </is>
      </c>
      <c r="B96">
        <f>INDEX('Entity Map'!$B:$B,MATCH($A96,'Entity Map'!$A:$A,0))</f>
        <v/>
      </c>
      <c r="C96">
        <f>DATE(2026,11,1)</f>
        <v/>
      </c>
      <c r="D96">
        <f>TEXT($C96,"yyyy-mm")</f>
        <v/>
      </c>
      <c r="E96">
        <f>AVERAGEIFS(Positions!$F:$F,Positions!$A:$A,$A96)</f>
        <v/>
      </c>
      <c r="F96">
        <f>E95</f>
        <v/>
      </c>
      <c r="G96">
        <f>IF($A96=$A95,F95,E96)</f>
        <v/>
      </c>
      <c r="H96">
        <f>VLOOKUP(E96,'Fee Schedule'!$C$5:$E$11,3,TRUE)</f>
        <v/>
      </c>
      <c r="I96">
        <f>VLOOKUP($A96,'Fee Schedule'!$A$5:$E$92,5,FALSE)</f>
        <v/>
      </c>
      <c r="J96">
        <f>INDEX('Entity Map'!$C:$C,MATCH($A96,'Entity Map'!$A:$A,0))</f>
        <v/>
      </c>
      <c r="K96">
        <f>INDEX('Entity Map'!$D:$D,MATCH($A96,'Entity Map'!$A:$A,0))</f>
        <v/>
      </c>
      <c r="L96">
        <f>ROUND(E96*I96/10000,2)</f>
        <v/>
      </c>
      <c r="M96">
        <f>DAY(EOMONTH($C96,0))</f>
        <v/>
      </c>
      <c r="N96">
        <f>DATEDIF($C96,EOMONTH($C96,0),"d")+1</f>
        <v/>
      </c>
      <c r="O96">
        <f>ROUND(L96*N96/M96,2)</f>
        <v/>
      </c>
      <c r="P96">
        <f>MAX(O96,'Fee Schedule'!$H$3)</f>
        <v/>
      </c>
      <c r="Q96">
        <f>MIN(P96,'Fee Schedule'!$H$4)</f>
        <v/>
      </c>
      <c r="R96">
        <f>IFERROR(Q96*'Fee Schedule'!$H$5,0)</f>
        <v/>
      </c>
      <c r="S96">
        <f>ROUND(Q96-R96,2)</f>
        <v/>
      </c>
      <c r="T96">
        <f>LEFT($A96,3)&amp;"-"&amp;$D96</f>
        <v/>
      </c>
      <c r="U96">
        <f>COUNTIFS(Positions!$A:$A,$A96)</f>
        <v/>
      </c>
      <c r="V96">
        <f>SUM($S$19:S96)</f>
        <v/>
      </c>
      <c r="W96">
        <f>SUMPRODUCT(Positions!$F$4:$F$903,--(Positions!$A$4:$A$903=$A96))</f>
        <v/>
      </c>
      <c r="X96">
        <f>IF(S96&gt;40000,"A",IF(S96&gt;8000,"B","C"))</f>
        <v/>
      </c>
      <c r="Y96">
        <f>UPPER(TRIM(INDEX('Entity Map'!$E:$E,MATCH($A96,'Entity Map'!$A:$A,0))))</f>
        <v/>
      </c>
      <c r="Z96">
        <f>YEAR($C96)</f>
        <v/>
      </c>
      <c r="AA96">
        <f>IFERROR(VLOOKUP($A96,Overrides!$A:$C,3,FALSE),S96)</f>
        <v/>
      </c>
      <c r="AB96">
        <f>IF(AB96=S96,"","OVERRIDE")</f>
        <v/>
      </c>
      <c r="AC96">
        <f>SUMIFS(Positions!$F:$F,Positions!$E:$E,$Y96)</f>
        <v/>
      </c>
      <c r="AD96">
        <f>IFERROR(E96/AD96,0)</f>
        <v/>
      </c>
      <c r="AE96">
        <f>COUNTIF('Entity Map'!$A:$A,$A96)</f>
        <v/>
      </c>
      <c r="AF96">
        <f>MAX(Positions!$C:$C)</f>
        <v/>
      </c>
      <c r="AG96">
        <f>ROUND(E96*$B$14/10000,2)</f>
        <v/>
      </c>
      <c r="AH96">
        <f>AH96-S96</f>
        <v/>
      </c>
      <c r="AI96">
        <f>AI96*$B$15</f>
        <v/>
      </c>
      <c r="AJ96">
        <f>CONCATENATE($A96," / ",TEXT(AJ96,"0.00"))</f>
        <v/>
      </c>
    </row>
    <row r="97">
      <c r="A97" t="inlineStr">
        <is>
          <t>00079</t>
        </is>
      </c>
      <c r="B97">
        <f>INDEX('Entity Map'!$B:$B,MATCH($A97,'Entity Map'!$A:$A,0))</f>
        <v/>
      </c>
      <c r="C97">
        <f>DATE(2026,11,1)</f>
        <v/>
      </c>
      <c r="D97">
        <f>TEXT($C97,"yyyy-mm")</f>
        <v/>
      </c>
      <c r="E97">
        <f>AVERAGEIFS(Positions!$F:$F,Positions!$A:$A,$A97)</f>
        <v/>
      </c>
      <c r="F97">
        <f>E96</f>
        <v/>
      </c>
      <c r="G97">
        <f>IF($A97=$A96,F96,E97)</f>
        <v/>
      </c>
      <c r="H97">
        <f>VLOOKUP(E97,'Fee Schedule'!$C$5:$E$11,3,TRUE)</f>
        <v/>
      </c>
      <c r="I97">
        <f>VLOOKUP($A97,'Fee Schedule'!$A$5:$E$92,5,FALSE)</f>
        <v/>
      </c>
      <c r="J97">
        <f>INDEX('Entity Map'!$C:$C,MATCH($A97,'Entity Map'!$A:$A,0))</f>
        <v/>
      </c>
      <c r="K97">
        <f>INDEX('Entity Map'!$D:$D,MATCH($A97,'Entity Map'!$A:$A,0))</f>
        <v/>
      </c>
      <c r="L97">
        <f>ROUND(E97*I97/10000,2)</f>
        <v/>
      </c>
      <c r="M97">
        <f>DAY(EOMONTH($C97,0))</f>
        <v/>
      </c>
      <c r="N97">
        <f>DATEDIF($C97,EOMONTH($C97,0),"d")+1</f>
        <v/>
      </c>
      <c r="O97">
        <f>ROUND(L97*N97/M97,2)</f>
        <v/>
      </c>
      <c r="P97">
        <f>MAX(O97,'Fee Schedule'!$H$3)</f>
        <v/>
      </c>
      <c r="Q97">
        <f>MIN(P97,'Fee Schedule'!$H$4)</f>
        <v/>
      </c>
      <c r="R97">
        <f>IFERROR(Q97*'Fee Schedule'!$H$5,0)</f>
        <v/>
      </c>
      <c r="S97">
        <f>ROUND(Q97-R97,2)</f>
        <v/>
      </c>
      <c r="T97">
        <f>LEFT($A97,3)&amp;"-"&amp;$D97</f>
        <v/>
      </c>
      <c r="U97">
        <f>COUNTIFS(Positions!$A:$A,$A97)</f>
        <v/>
      </c>
      <c r="V97">
        <f>SUM($S$19:S97)</f>
        <v/>
      </c>
      <c r="W97">
        <f>SUMPRODUCT(Positions!$F$4:$F$903,--(Positions!$A$4:$A$903=$A97))</f>
        <v/>
      </c>
      <c r="X97">
        <f>IF(S97&gt;40000,"A",IF(S97&gt;8000,"B","C"))</f>
        <v/>
      </c>
      <c r="Y97">
        <f>UPPER(TRIM(INDEX('Entity Map'!$E:$E,MATCH($A97,'Entity Map'!$A:$A,0))))</f>
        <v/>
      </c>
      <c r="Z97">
        <f>YEAR($C97)</f>
        <v/>
      </c>
      <c r="AA97">
        <f>IFERROR(VLOOKUP($A97,Overrides!$A:$C,3,FALSE),S97)</f>
        <v/>
      </c>
      <c r="AB97">
        <f>IF(AB97=S97,"","OVERRIDE")</f>
        <v/>
      </c>
      <c r="AC97">
        <f>SUMIFS(Positions!$F:$F,Positions!$E:$E,$Y97)</f>
        <v/>
      </c>
      <c r="AD97">
        <f>IFERROR(E97/AD97,0)</f>
        <v/>
      </c>
      <c r="AE97">
        <f>COUNTIF('Entity Map'!$A:$A,$A97)</f>
        <v/>
      </c>
      <c r="AF97">
        <f>MAX(Positions!$C:$C)</f>
        <v/>
      </c>
      <c r="AG97">
        <f>ROUND(E97*$B$14/10000,2)</f>
        <v/>
      </c>
      <c r="AH97">
        <f>AH97-S97</f>
        <v/>
      </c>
      <c r="AI97">
        <f>AI97*$B$15</f>
        <v/>
      </c>
      <c r="AJ97">
        <f>CONCATENATE($A97," / ",TEXT(AJ97,"0.00"))</f>
        <v/>
      </c>
    </row>
    <row r="98">
      <c r="A98" t="inlineStr">
        <is>
          <t>00080</t>
        </is>
      </c>
      <c r="B98">
        <f>INDEX('Entity Map'!$B:$B,MATCH($A98,'Entity Map'!$A:$A,0))</f>
        <v/>
      </c>
      <c r="C98">
        <f>DATE(2026,11,1)</f>
        <v/>
      </c>
      <c r="D98">
        <f>TEXT($C98,"yyyy-mm")</f>
        <v/>
      </c>
      <c r="E98">
        <f>AVERAGEIFS(Positions!$F:$F,Positions!$A:$A,$A98)</f>
        <v/>
      </c>
      <c r="F98">
        <f>E97</f>
        <v/>
      </c>
      <c r="G98">
        <f>IF($A98=$A97,F97,E98)</f>
        <v/>
      </c>
      <c r="H98">
        <f>VLOOKUP(E98,'Fee Schedule'!$C$5:$E$11,3,TRUE)</f>
        <v/>
      </c>
      <c r="I98">
        <f>VLOOKUP($A98,'Fee Schedule'!$A$5:$E$92,5,FALSE)</f>
        <v/>
      </c>
      <c r="J98">
        <f>INDEX('Entity Map'!$C:$C,MATCH($A98,'Entity Map'!$A:$A,0))</f>
        <v/>
      </c>
      <c r="K98">
        <f>INDEX('Entity Map'!$D:$D,MATCH($A98,'Entity Map'!$A:$A,0))</f>
        <v/>
      </c>
      <c r="L98">
        <f>ROUND(E98*I98/10000,2)</f>
        <v/>
      </c>
      <c r="M98">
        <f>DAY(EOMONTH($C98,0))</f>
        <v/>
      </c>
      <c r="N98">
        <f>DATEDIF($C98,EOMONTH($C98,0),"d")+1</f>
        <v/>
      </c>
      <c r="O98">
        <f>ROUND(L98*N98/M98,2)</f>
        <v/>
      </c>
      <c r="P98">
        <f>MAX(O98,'Fee Schedule'!$H$3)</f>
        <v/>
      </c>
      <c r="Q98">
        <f>MIN(P98,'Fee Schedule'!$H$4)</f>
        <v/>
      </c>
      <c r="R98">
        <f>IFERROR(Q98*'Fee Schedule'!$H$5,0)</f>
        <v/>
      </c>
      <c r="S98">
        <f>ROUND(Q98-R98,2)</f>
        <v/>
      </c>
      <c r="T98">
        <f>LEFT($A98,3)&amp;"-"&amp;$D98</f>
        <v/>
      </c>
      <c r="U98">
        <f>COUNTIFS(Positions!$A:$A,$A98)</f>
        <v/>
      </c>
      <c r="V98">
        <f>SUM($S$19:S98)</f>
        <v/>
      </c>
      <c r="W98">
        <f>SUMPRODUCT(Positions!$F$4:$F$903,--(Positions!$A$4:$A$903=$A98))</f>
        <v/>
      </c>
      <c r="X98">
        <f>IF(S98&gt;40000,"A",IF(S98&gt;8000,"B","C"))</f>
        <v/>
      </c>
      <c r="Y98">
        <f>UPPER(TRIM(INDEX('Entity Map'!$E:$E,MATCH($A98,'Entity Map'!$A:$A,0))))</f>
        <v/>
      </c>
      <c r="Z98">
        <f>YEAR($C98)</f>
        <v/>
      </c>
      <c r="AA98">
        <f>IFERROR(VLOOKUP($A98,Overrides!$A:$C,3,FALSE),S98)</f>
        <v/>
      </c>
      <c r="AB98">
        <f>IF(AB98=S98,"","OVERRIDE")</f>
        <v/>
      </c>
      <c r="AC98">
        <f>SUMIFS(Positions!$F:$F,Positions!$E:$E,$Y98)</f>
        <v/>
      </c>
      <c r="AD98">
        <f>IFERROR(E98/AD98,0)</f>
        <v/>
      </c>
      <c r="AE98">
        <f>COUNTIF('Entity Map'!$A:$A,$A98)</f>
        <v/>
      </c>
      <c r="AF98">
        <f>MAX(Positions!$C:$C)</f>
        <v/>
      </c>
      <c r="AG98">
        <f>ROUND(E98*$B$14/10000,2)</f>
        <v/>
      </c>
      <c r="AH98">
        <f>AH98-S98</f>
        <v/>
      </c>
      <c r="AI98">
        <f>AI98*$B$15</f>
        <v/>
      </c>
      <c r="AJ98">
        <f>CONCATENATE($A98," / ",TEXT(AJ98,"0.00"))</f>
        <v/>
      </c>
    </row>
    <row r="99">
      <c r="A99" t="inlineStr">
        <is>
          <t>00081</t>
        </is>
      </c>
      <c r="B99">
        <f>INDEX('Entity Map'!$B:$B,MATCH($A99,'Entity Map'!$A:$A,0))</f>
        <v/>
      </c>
      <c r="C99">
        <f>DATE(2026,11,1)</f>
        <v/>
      </c>
      <c r="D99">
        <f>TEXT($C99,"yyyy-mm")</f>
        <v/>
      </c>
      <c r="E99">
        <f>AVERAGEIFS(Positions!$F:$F,Positions!$A:$A,$A99)</f>
        <v/>
      </c>
      <c r="F99">
        <f>E98</f>
        <v/>
      </c>
      <c r="G99">
        <f>IF($A99=$A98,F98,E99)</f>
        <v/>
      </c>
      <c r="H99">
        <f>VLOOKUP(E99,'Fee Schedule'!$C$5:$E$11,3,TRUE)</f>
        <v/>
      </c>
      <c r="I99">
        <f>VLOOKUP($A99,'Fee Schedule'!$A$5:$E$92,5,FALSE)</f>
        <v/>
      </c>
      <c r="J99">
        <f>INDEX('Entity Map'!$C:$C,MATCH($A99,'Entity Map'!$A:$A,0))</f>
        <v/>
      </c>
      <c r="K99">
        <f>INDEX('Entity Map'!$D:$D,MATCH($A99,'Entity Map'!$A:$A,0))</f>
        <v/>
      </c>
      <c r="L99">
        <f>ROUND(E99*I99/10000,2)</f>
        <v/>
      </c>
      <c r="M99">
        <f>DAY(EOMONTH($C99,0))</f>
        <v/>
      </c>
      <c r="N99">
        <f>DATEDIF($C99,EOMONTH($C99,0),"d")+1</f>
        <v/>
      </c>
      <c r="O99">
        <f>ROUND(L99*N99/M99,2)</f>
        <v/>
      </c>
      <c r="P99">
        <f>MAX(O99,'Fee Schedule'!$H$3)</f>
        <v/>
      </c>
      <c r="Q99">
        <f>MIN(P99,'Fee Schedule'!$H$4)</f>
        <v/>
      </c>
      <c r="R99">
        <f>IFERROR(Q99*'Fee Schedule'!$H$5,0)</f>
        <v/>
      </c>
      <c r="S99">
        <f>ROUND(Q99-R99,2)</f>
        <v/>
      </c>
      <c r="T99">
        <f>LEFT($A99,3)&amp;"-"&amp;$D99</f>
        <v/>
      </c>
      <c r="U99">
        <f>COUNTIFS(Positions!$A:$A,$A99)</f>
        <v/>
      </c>
      <c r="V99">
        <f>SUM($S$19:S99)</f>
        <v/>
      </c>
      <c r="W99">
        <f>SUMPRODUCT(Positions!$F$4:$F$903,--(Positions!$A$4:$A$903=$A99))</f>
        <v/>
      </c>
      <c r="X99">
        <f>IF(S99&gt;40000,"A",IF(S99&gt;8000,"B","C"))</f>
        <v/>
      </c>
      <c r="Y99">
        <f>UPPER(TRIM(INDEX('Entity Map'!$E:$E,MATCH($A99,'Entity Map'!$A:$A,0))))</f>
        <v/>
      </c>
      <c r="Z99">
        <f>YEAR($C99)</f>
        <v/>
      </c>
      <c r="AA99">
        <f>IFERROR(VLOOKUP($A99,Overrides!$A:$C,3,FALSE),S99)</f>
        <v/>
      </c>
      <c r="AB99">
        <f>IF(AB99=S99,"","OVERRIDE")</f>
        <v/>
      </c>
      <c r="AC99">
        <f>SUMIFS(Positions!$F:$F,Positions!$E:$E,$Y99)</f>
        <v/>
      </c>
      <c r="AD99">
        <f>IFERROR(E99/AD99,0)</f>
        <v/>
      </c>
      <c r="AE99">
        <f>COUNTIF('Entity Map'!$A:$A,$A99)</f>
        <v/>
      </c>
      <c r="AF99">
        <f>MAX(Positions!$C:$C)</f>
        <v/>
      </c>
      <c r="AG99">
        <f>ROUND(E99*$B$14/10000,2)</f>
        <v/>
      </c>
      <c r="AH99">
        <f>AH99-S99</f>
        <v/>
      </c>
      <c r="AI99">
        <f>AI99*$B$15</f>
        <v/>
      </c>
      <c r="AJ99">
        <f>CONCATENATE($A99," / ",TEXT(AJ99,"0.00"))</f>
        <v/>
      </c>
    </row>
    <row r="100">
      <c r="A100" t="inlineStr">
        <is>
          <t>00082</t>
        </is>
      </c>
      <c r="B100">
        <f>INDEX('Entity Map'!$B:$B,MATCH($A100,'Entity Map'!$A:$A,0))</f>
        <v/>
      </c>
      <c r="C100">
        <f>DATE(2026,11,1)</f>
        <v/>
      </c>
      <c r="D100">
        <f>TEXT($C100,"yyyy-mm")</f>
        <v/>
      </c>
      <c r="E100">
        <f>AVERAGEIFS(Positions!$F:$F,Positions!$A:$A,$A100)</f>
        <v/>
      </c>
      <c r="F100">
        <f>E99</f>
        <v/>
      </c>
      <c r="G100">
        <f>IF($A100=$A99,F99,E100)</f>
        <v/>
      </c>
      <c r="H100">
        <f>VLOOKUP(E100,'Fee Schedule'!$C$5:$E$11,3,TRUE)</f>
        <v/>
      </c>
      <c r="I100">
        <f>VLOOKUP($A100,'Fee Schedule'!$A$5:$E$92,5,FALSE)</f>
        <v/>
      </c>
      <c r="J100">
        <f>INDEX('Entity Map'!$C:$C,MATCH($A100,'Entity Map'!$A:$A,0))</f>
        <v/>
      </c>
      <c r="K100">
        <f>INDEX('Entity Map'!$D:$D,MATCH($A100,'Entity Map'!$A:$A,0))</f>
        <v/>
      </c>
      <c r="L100">
        <f>ROUND(E100*I100/10000,2)</f>
        <v/>
      </c>
      <c r="M100">
        <f>DAY(EOMONTH($C100,0))</f>
        <v/>
      </c>
      <c r="N100">
        <f>DATEDIF($C100,EOMONTH($C100,0),"d")+1</f>
        <v/>
      </c>
      <c r="O100">
        <f>ROUND(L100*N100/M100,2)</f>
        <v/>
      </c>
      <c r="P100">
        <f>MAX(O100,'Fee Schedule'!$H$3)</f>
        <v/>
      </c>
      <c r="Q100">
        <f>MIN(P100,'Fee Schedule'!$H$4)</f>
        <v/>
      </c>
      <c r="R100">
        <f>IFERROR(Q100*'Fee Schedule'!$H$5,0)</f>
        <v/>
      </c>
      <c r="S100">
        <f>ROUND(Q100-R100,2)</f>
        <v/>
      </c>
      <c r="T100">
        <f>LEFT($A100,3)&amp;"-"&amp;$D100</f>
        <v/>
      </c>
      <c r="U100">
        <f>COUNTIFS(Positions!$A:$A,$A100)</f>
        <v/>
      </c>
      <c r="V100">
        <f>SUM($S$19:S100)</f>
        <v/>
      </c>
      <c r="W100">
        <f>SUMPRODUCT(Positions!$F$4:$F$903,--(Positions!$A$4:$A$903=$A100))</f>
        <v/>
      </c>
      <c r="X100">
        <f>IF(S100&gt;40000,"A",IF(S100&gt;8000,"B","C"))</f>
        <v/>
      </c>
      <c r="Y100">
        <f>UPPER(TRIM(INDEX('Entity Map'!$E:$E,MATCH($A100,'Entity Map'!$A:$A,0))))</f>
        <v/>
      </c>
      <c r="Z100">
        <f>YEAR($C100)</f>
        <v/>
      </c>
      <c r="AA100">
        <f>IFERROR(VLOOKUP($A100,Overrides!$A:$C,3,FALSE),S100)</f>
        <v/>
      </c>
      <c r="AB100">
        <f>IF(AB100=S100,"","OVERRIDE")</f>
        <v/>
      </c>
      <c r="AC100">
        <f>SUMIFS(Positions!$F:$F,Positions!$E:$E,$Y100)</f>
        <v/>
      </c>
      <c r="AD100">
        <f>IFERROR(E100/AD100,0)</f>
        <v/>
      </c>
      <c r="AE100">
        <f>COUNTIF('Entity Map'!$A:$A,$A100)</f>
        <v/>
      </c>
      <c r="AF100">
        <f>MAX(Positions!$C:$C)</f>
        <v/>
      </c>
      <c r="AG100">
        <f>ROUND(E100*$B$14/10000,2)</f>
        <v/>
      </c>
      <c r="AH100">
        <f>AH100-S100</f>
        <v/>
      </c>
      <c r="AI100">
        <f>AI100*$B$15</f>
        <v/>
      </c>
      <c r="AJ100">
        <f>CONCATENATE($A100," / ",TEXT(AJ100,"0.00"))</f>
        <v/>
      </c>
    </row>
    <row r="101">
      <c r="A101" t="inlineStr">
        <is>
          <t>00083</t>
        </is>
      </c>
      <c r="B101">
        <f>INDEX('Entity Map'!$B:$B,MATCH($A101,'Entity Map'!$A:$A,0))</f>
        <v/>
      </c>
      <c r="C101">
        <f>DATE(2026,11,1)</f>
        <v/>
      </c>
      <c r="D101">
        <f>TEXT($C101,"yyyy-mm")</f>
        <v/>
      </c>
      <c r="E101">
        <f>AVERAGEIFS(Positions!$F:$F,Positions!$A:$A,$A101)</f>
        <v/>
      </c>
      <c r="F101">
        <f>E100</f>
        <v/>
      </c>
      <c r="G101">
        <f>IF($A101=$A100,F100,E101)</f>
        <v/>
      </c>
      <c r="H101">
        <f>VLOOKUP(E101,'Fee Schedule'!$C$5:$E$11,3,TRUE)</f>
        <v/>
      </c>
      <c r="I101">
        <f>VLOOKUP($A101,'Fee Schedule'!$A$5:$E$92,5,FALSE)</f>
        <v/>
      </c>
      <c r="J101">
        <f>INDEX('Entity Map'!$C:$C,MATCH($A101,'Entity Map'!$A:$A,0))</f>
        <v/>
      </c>
      <c r="K101">
        <f>INDEX('Entity Map'!$D:$D,MATCH($A101,'Entity Map'!$A:$A,0))</f>
        <v/>
      </c>
      <c r="L101">
        <f>ROUND(E101*I101/10000,2)</f>
        <v/>
      </c>
      <c r="M101">
        <f>DAY(EOMONTH($C101,0))</f>
        <v/>
      </c>
      <c r="N101">
        <f>DATEDIF($C101,EOMONTH($C101,0),"d")+1</f>
        <v/>
      </c>
      <c r="O101">
        <f>ROUND(L101*N101/M101,2)</f>
        <v/>
      </c>
      <c r="P101">
        <f>MAX(O101,'Fee Schedule'!$H$3)</f>
        <v/>
      </c>
      <c r="Q101">
        <f>MIN(P101,'Fee Schedule'!$H$4)</f>
        <v/>
      </c>
      <c r="R101">
        <f>IFERROR(Q101*'Fee Schedule'!$H$5,0)</f>
        <v/>
      </c>
      <c r="S101">
        <f>ROUND(Q101-R101,2)</f>
        <v/>
      </c>
      <c r="T101">
        <f>LEFT($A101,3)&amp;"-"&amp;$D101</f>
        <v/>
      </c>
      <c r="U101">
        <f>COUNTIFS(Positions!$A:$A,$A101)</f>
        <v/>
      </c>
      <c r="V101">
        <f>SUM($S$19:S101)</f>
        <v/>
      </c>
      <c r="W101">
        <f>SUMPRODUCT(Positions!$F$4:$F$903,--(Positions!$A$4:$A$903=$A101))</f>
        <v/>
      </c>
      <c r="X101">
        <f>IF(S101&gt;40000,"A",IF(S101&gt;8000,"B","C"))</f>
        <v/>
      </c>
      <c r="Y101">
        <f>UPPER(TRIM(INDEX('Entity Map'!$E:$E,MATCH($A101,'Entity Map'!$A:$A,0))))</f>
        <v/>
      </c>
      <c r="Z101">
        <f>YEAR($C101)</f>
        <v/>
      </c>
      <c r="AA101">
        <f>IFERROR(VLOOKUP($A101,Overrides!$A:$C,3,FALSE),S101)</f>
        <v/>
      </c>
      <c r="AB101">
        <f>IF(AB101=S101,"","OVERRIDE")</f>
        <v/>
      </c>
      <c r="AC101">
        <f>SUMIFS(Positions!$F:$F,Positions!$E:$E,$Y101)</f>
        <v/>
      </c>
      <c r="AD101">
        <f>IFERROR(E101/AD101,0)</f>
        <v/>
      </c>
      <c r="AE101">
        <f>COUNTIF('Entity Map'!$A:$A,$A101)</f>
        <v/>
      </c>
      <c r="AF101">
        <f>MAX(Positions!$C:$C)</f>
        <v/>
      </c>
      <c r="AG101">
        <f>ROUND(E101*$B$14/10000,2)</f>
        <v/>
      </c>
      <c r="AH101">
        <f>AH101-S101</f>
        <v/>
      </c>
      <c r="AI101">
        <f>AI101*$B$15</f>
        <v/>
      </c>
      <c r="AJ101">
        <f>CONCATENATE($A101," / ",TEXT(AJ101,"0.00"))</f>
        <v/>
      </c>
    </row>
    <row r="102">
      <c r="A102" t="inlineStr">
        <is>
          <t>00084</t>
        </is>
      </c>
      <c r="B102">
        <f>INDEX('Entity Map'!$B:$B,MATCH($A102,'Entity Map'!$A:$A,0))</f>
        <v/>
      </c>
      <c r="C102">
        <f>DATE(2026,11,1)</f>
        <v/>
      </c>
      <c r="D102">
        <f>TEXT($C102,"yyyy-mm")</f>
        <v/>
      </c>
      <c r="E102">
        <f>AVERAGEIFS(Positions!$F:$F,Positions!$A:$A,$A102)</f>
        <v/>
      </c>
      <c r="F102">
        <f>E101</f>
        <v/>
      </c>
      <c r="G102">
        <f>IF($A102=$A101,F101,E102)</f>
        <v/>
      </c>
      <c r="H102">
        <f>VLOOKUP(E102,'Fee Schedule'!$C$5:$E$11,3,TRUE)</f>
        <v/>
      </c>
      <c r="I102">
        <f>VLOOKUP($A102,'Fee Schedule'!$A$5:$E$92,5,FALSE)</f>
        <v/>
      </c>
      <c r="J102">
        <f>INDEX('Entity Map'!$C:$C,MATCH($A102,'Entity Map'!$A:$A,0))</f>
        <v/>
      </c>
      <c r="K102">
        <f>INDEX('Entity Map'!$D:$D,MATCH($A102,'Entity Map'!$A:$A,0))</f>
        <v/>
      </c>
      <c r="L102">
        <f>ROUND(E102*I102/10000,2)</f>
        <v/>
      </c>
      <c r="M102">
        <f>DAY(EOMONTH($C102,0))</f>
        <v/>
      </c>
      <c r="N102">
        <f>DATEDIF($C102,EOMONTH($C102,0),"d")+1</f>
        <v/>
      </c>
      <c r="O102">
        <f>ROUND(L102*N102/M102,2)</f>
        <v/>
      </c>
      <c r="P102">
        <f>MAX(O102,'Fee Schedule'!$H$3)</f>
        <v/>
      </c>
      <c r="Q102">
        <f>MIN(P102,'Fee Schedule'!$H$4)</f>
        <v/>
      </c>
      <c r="R102">
        <f>IFERROR(Q102*'Fee Schedule'!$H$5,0)</f>
        <v/>
      </c>
      <c r="S102">
        <f>ROUND(Q102-R102,2)</f>
        <v/>
      </c>
      <c r="T102">
        <f>LEFT($A102,3)&amp;"-"&amp;$D102</f>
        <v/>
      </c>
      <c r="U102">
        <f>COUNTIFS(Positions!$A:$A,$A102)</f>
        <v/>
      </c>
      <c r="V102">
        <f>SUM($S$19:S102)</f>
        <v/>
      </c>
      <c r="W102">
        <f>SUMPRODUCT(Positions!$F$4:$F$903,--(Positions!$A$4:$A$903=$A102))</f>
        <v/>
      </c>
      <c r="X102">
        <f>IF(S102&gt;40000,"A",IF(S102&gt;8000,"B","C"))</f>
        <v/>
      </c>
      <c r="Y102">
        <f>UPPER(TRIM(INDEX('Entity Map'!$E:$E,MATCH($A102,'Entity Map'!$A:$A,0))))</f>
        <v/>
      </c>
      <c r="Z102">
        <f>YEAR($C102)</f>
        <v/>
      </c>
      <c r="AA102">
        <f>IFERROR(VLOOKUP($A102,Overrides!$A:$C,3,FALSE),S102)</f>
        <v/>
      </c>
      <c r="AB102">
        <f>IF(AB102=S102,"","OVERRIDE")</f>
        <v/>
      </c>
      <c r="AC102">
        <f>SUMIFS(Positions!$F:$F,Positions!$E:$E,$Y102)</f>
        <v/>
      </c>
      <c r="AD102">
        <f>IFERROR(E102/AD102,0)</f>
        <v/>
      </c>
      <c r="AE102">
        <f>COUNTIF('Entity Map'!$A:$A,$A102)</f>
        <v/>
      </c>
      <c r="AF102">
        <f>MAX(Positions!$C:$C)</f>
        <v/>
      </c>
      <c r="AG102">
        <f>ROUND(E102*$B$14/10000,2)</f>
        <v/>
      </c>
      <c r="AH102">
        <f>AH102-S102</f>
        <v/>
      </c>
      <c r="AI102">
        <f>AI102*$B$15</f>
        <v/>
      </c>
      <c r="AJ102">
        <f>CONCATENATE($A102," / ",TEXT(AJ102,"0.00"))</f>
        <v/>
      </c>
    </row>
    <row r="104">
      <c r="A104" s="1" t="inlineStr">
        <is>
          <t>TOTAL</t>
        </is>
      </c>
      <c r="L104">
        <f>SUM(L19:L102)</f>
        <v/>
      </c>
      <c r="O104">
        <f>SUM(O19:O102)</f>
        <v/>
      </c>
      <c r="S104">
        <f>SUM(S19:S102)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1" t="inlineStr">
        <is>
          <t>client_code</t>
        </is>
      </c>
      <c r="B1" s="1" t="inlineStr">
        <is>
          <t>computed_fee</t>
        </is>
      </c>
      <c r="C1" s="1" t="inlineStr">
        <is>
          <t>agreed_fee</t>
        </is>
      </c>
      <c r="D1" s="1" t="inlineStr">
        <is>
          <t>reason</t>
        </is>
      </c>
      <c r="E1" s="1" t="inlineStr">
        <is>
          <t>agreed_on</t>
        </is>
      </c>
      <c r="F1" s="1" t="inlineStr">
        <is>
          <t>agreed_by</t>
        </is>
      </c>
    </row>
    <row r="2">
      <c r="A2" t="inlineStr">
        <is>
          <t>00007</t>
        </is>
      </c>
      <c r="B2">
        <f>INDEX(Working!$S:$S,MATCH($A2,Working!$A:$A,0))</f>
        <v/>
      </c>
      <c r="C2" t="n">
        <v>0</v>
      </c>
      <c r="D2" t="inlineStr">
        <is>
          <t>Fee waived for Q4 pending the mandate transfer agreed with the client in September.</t>
        </is>
      </c>
      <c r="E2" s="3" t="n">
        <v>46283</v>
      </c>
      <c r="F2" t="inlineStr">
        <is>
          <t>Billing Operations</t>
        </is>
      </c>
    </row>
    <row r="3">
      <c r="A3" t="inlineStr">
        <is>
          <t>00041</t>
        </is>
      </c>
      <c r="B3">
        <f>INDEX(Working!$S:$S,MATCH($A3,Working!$A:$A,0))</f>
        <v/>
      </c>
      <c r="C3" t="n">
        <v>18500</v>
      </c>
      <c r="D3" t="inlineStr">
        <is>
          <t>Capped at the 2025 level; the uplift was not communicated before the billing run.</t>
        </is>
      </c>
      <c r="E3" s="3" t="n">
        <v>46297</v>
      </c>
      <c r="F3" t="inlineStr">
        <is>
          <t>Billing Operations</t>
        </is>
      </c>
    </row>
    <row r="4">
      <c r="A4" t="inlineStr">
        <is>
          <t>00062</t>
        </is>
      </c>
      <c r="B4">
        <f>INDEX(Working!$S:$S,MATCH($A4,Working!$A:$A,0))</f>
        <v/>
      </c>
      <c r="C4" t="n">
        <v>4220.75</v>
      </c>
      <c r="D4" t="inlineStr">
        <is>
          <t>Manual correction: two accounts were double-counted in the position extract.</t>
        </is>
      </c>
      <c r="E4" s="3" t="n">
        <v>46329</v>
      </c>
      <c r="F4" t="inlineStr">
        <is>
          <t>Billing Operations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1" t="inlineStr">
        <is>
          <t>client_code</t>
        </is>
      </c>
      <c r="B1" s="1" t="inlineStr">
        <is>
          <t>legal_entity</t>
        </is>
      </c>
      <c r="C1" s="1" t="inlineStr">
        <is>
          <t>cost_centre</t>
        </is>
      </c>
      <c r="D1" s="1" t="inlineStr">
        <is>
          <t>period</t>
        </is>
      </c>
      <c r="E1" s="1" t="inlineStr">
        <is>
          <t>fee_gbp</t>
        </is>
      </c>
    </row>
    <row r="2">
      <c r="A2" t="inlineStr">
        <is>
          <t>00001</t>
        </is>
      </c>
      <c r="B2" t="inlineStr">
        <is>
          <t>LuxCo</t>
        </is>
      </c>
      <c r="C2" t="inlineStr">
        <is>
          <t>CC-100</t>
        </is>
      </c>
      <c r="D2" t="inlineStr">
        <is>
          <t>2026-11</t>
        </is>
      </c>
      <c r="E2">
        <f>SUMIFS(Working!$S:$S,Working!$A:$A,$A2)</f>
        <v/>
      </c>
    </row>
    <row r="3">
      <c r="A3" t="inlineStr">
        <is>
          <t>00004</t>
        </is>
      </c>
      <c r="B3" t="inlineStr">
        <is>
          <t>LuxCo</t>
        </is>
      </c>
      <c r="C3" t="inlineStr">
        <is>
          <t>CC-130</t>
        </is>
      </c>
      <c r="D3" t="inlineStr">
        <is>
          <t>2026-11</t>
        </is>
      </c>
      <c r="E3">
        <f>SUMIFS(Working!$S:$S,Working!$A:$A,$A3)</f>
        <v/>
      </c>
    </row>
    <row r="4">
      <c r="A4" t="inlineStr">
        <is>
          <t>00007</t>
        </is>
      </c>
      <c r="B4" t="inlineStr">
        <is>
          <t>LuxCo</t>
        </is>
      </c>
      <c r="C4" t="inlineStr">
        <is>
          <t>CC-100</t>
        </is>
      </c>
      <c r="D4" t="inlineStr">
        <is>
          <t>2026-11</t>
        </is>
      </c>
      <c r="E4">
        <f>SUMIFS(Working!$S:$S,Working!$A:$A,$A4)</f>
        <v/>
      </c>
    </row>
    <row r="5">
      <c r="A5" t="inlineStr">
        <is>
          <t>00010</t>
        </is>
      </c>
      <c r="B5" t="inlineStr">
        <is>
          <t>LuxCo</t>
        </is>
      </c>
      <c r="C5" t="inlineStr">
        <is>
          <t>CC-130</t>
        </is>
      </c>
      <c r="D5" t="inlineStr">
        <is>
          <t>2026-11</t>
        </is>
      </c>
      <c r="E5">
        <f>SUMIFS(Working!$S:$S,Working!$A:$A,$A5)</f>
        <v/>
      </c>
    </row>
    <row r="6">
      <c r="A6" t="inlineStr">
        <is>
          <t>00013</t>
        </is>
      </c>
      <c r="B6" t="inlineStr">
        <is>
          <t>LuxCo</t>
        </is>
      </c>
      <c r="C6" t="inlineStr">
        <is>
          <t>CC-100</t>
        </is>
      </c>
      <c r="D6" t="inlineStr">
        <is>
          <t>2026-11</t>
        </is>
      </c>
      <c r="E6">
        <f>SUMIFS(Working!$S:$S,Working!$A:$A,$A6)</f>
        <v/>
      </c>
    </row>
    <row r="7">
      <c r="A7" t="inlineStr">
        <is>
          <t>00016</t>
        </is>
      </c>
      <c r="B7" t="inlineStr">
        <is>
          <t>LuxCo</t>
        </is>
      </c>
      <c r="C7" t="inlineStr">
        <is>
          <t>CC-130</t>
        </is>
      </c>
      <c r="D7" t="inlineStr">
        <is>
          <t>2026-11</t>
        </is>
      </c>
      <c r="E7">
        <f>SUMIFS(Working!$S:$S,Working!$A:$A,$A7)</f>
        <v/>
      </c>
    </row>
    <row r="8">
      <c r="A8" t="inlineStr">
        <is>
          <t>00019</t>
        </is>
      </c>
      <c r="B8" t="inlineStr">
        <is>
          <t>LuxCo</t>
        </is>
      </c>
      <c r="C8" t="inlineStr">
        <is>
          <t>CC-100</t>
        </is>
      </c>
      <c r="D8" t="inlineStr">
        <is>
          <t>2026-11</t>
        </is>
      </c>
      <c r="E8">
        <f>SUMIFS(Working!$S:$S,Working!$A:$A,$A8)</f>
        <v/>
      </c>
    </row>
    <row r="9">
      <c r="A9" t="inlineStr">
        <is>
          <t>00022</t>
        </is>
      </c>
      <c r="B9" t="inlineStr">
        <is>
          <t>LuxCo</t>
        </is>
      </c>
      <c r="C9" t="inlineStr">
        <is>
          <t>CC-130</t>
        </is>
      </c>
      <c r="D9" t="inlineStr">
        <is>
          <t>2026-11</t>
        </is>
      </c>
      <c r="E9">
        <f>SUMIFS(Working!$S:$S,Working!$A:$A,$A9)</f>
        <v/>
      </c>
    </row>
    <row r="10">
      <c r="A10" t="inlineStr">
        <is>
          <t>00025</t>
        </is>
      </c>
      <c r="B10" t="inlineStr">
        <is>
          <t>LuxCo</t>
        </is>
      </c>
      <c r="C10" t="inlineStr">
        <is>
          <t>CC-100</t>
        </is>
      </c>
      <c r="D10" t="inlineStr">
        <is>
          <t>2026-11</t>
        </is>
      </c>
      <c r="E10">
        <f>SUMIFS(Working!$S:$S,Working!$A:$A,$A10)</f>
        <v/>
      </c>
    </row>
    <row r="11">
      <c r="A11" t="inlineStr">
        <is>
          <t>00028</t>
        </is>
      </c>
      <c r="B11" t="inlineStr">
        <is>
          <t>LuxCo</t>
        </is>
      </c>
      <c r="C11" t="inlineStr">
        <is>
          <t>CC-130</t>
        </is>
      </c>
      <c r="D11" t="inlineStr">
        <is>
          <t>2026-11</t>
        </is>
      </c>
      <c r="E11">
        <f>SUMIFS(Working!$S:$S,Working!$A:$A,$A11)</f>
        <v/>
      </c>
    </row>
    <row r="12">
      <c r="A12" t="inlineStr">
        <is>
          <t>00031</t>
        </is>
      </c>
      <c r="B12" t="inlineStr">
        <is>
          <t>LuxCo</t>
        </is>
      </c>
      <c r="C12" t="inlineStr">
        <is>
          <t>CC-100</t>
        </is>
      </c>
      <c r="D12" t="inlineStr">
        <is>
          <t>2026-11</t>
        </is>
      </c>
      <c r="E12">
        <f>SUMIFS(Working!$S:$S,Working!$A:$A,$A12)</f>
        <v/>
      </c>
    </row>
    <row r="13">
      <c r="A13" t="inlineStr">
        <is>
          <t>00034</t>
        </is>
      </c>
      <c r="B13" t="inlineStr">
        <is>
          <t>LuxCo</t>
        </is>
      </c>
      <c r="C13" t="inlineStr">
        <is>
          <t>CC-130</t>
        </is>
      </c>
      <c r="D13" t="inlineStr">
        <is>
          <t>2026-11</t>
        </is>
      </c>
      <c r="E13">
        <f>SUMIFS(Working!$S:$S,Working!$A:$A,$A13)</f>
        <v/>
      </c>
    </row>
    <row r="14">
      <c r="A14" t="inlineStr">
        <is>
          <t>00037</t>
        </is>
      </c>
      <c r="B14" t="inlineStr">
        <is>
          <t>LuxCo</t>
        </is>
      </c>
      <c r="C14" t="inlineStr">
        <is>
          <t>CC-100</t>
        </is>
      </c>
      <c r="D14" t="inlineStr">
        <is>
          <t>2026-11</t>
        </is>
      </c>
      <c r="E14">
        <f>SUMIFS(Working!$S:$S,Working!$A:$A,$A14)</f>
        <v/>
      </c>
    </row>
    <row r="15">
      <c r="A15" t="inlineStr">
        <is>
          <t>00040</t>
        </is>
      </c>
      <c r="B15" t="inlineStr">
        <is>
          <t>LuxCo</t>
        </is>
      </c>
      <c r="C15" t="inlineStr">
        <is>
          <t>CC-130</t>
        </is>
      </c>
      <c r="D15" t="inlineStr">
        <is>
          <t>2026-11</t>
        </is>
      </c>
      <c r="E15">
        <f>SUMIFS(Working!$S:$S,Working!$A:$A,$A15)</f>
        <v/>
      </c>
    </row>
    <row r="16">
      <c r="A16" t="inlineStr">
        <is>
          <t>00043</t>
        </is>
      </c>
      <c r="B16" t="inlineStr">
        <is>
          <t>LuxCo</t>
        </is>
      </c>
      <c r="C16" t="inlineStr">
        <is>
          <t>CC-100</t>
        </is>
      </c>
      <c r="D16" t="inlineStr">
        <is>
          <t>2026-11</t>
        </is>
      </c>
      <c r="E16">
        <f>SUMIFS(Working!$S:$S,Working!$A:$A,$A16)</f>
        <v/>
      </c>
    </row>
    <row r="17">
      <c r="A17" t="inlineStr">
        <is>
          <t>00046</t>
        </is>
      </c>
      <c r="B17" t="inlineStr">
        <is>
          <t>LuxCo</t>
        </is>
      </c>
      <c r="C17" t="inlineStr">
        <is>
          <t>CC-130</t>
        </is>
      </c>
      <c r="D17" t="inlineStr">
        <is>
          <t>2026-11</t>
        </is>
      </c>
      <c r="E17">
        <f>SUMIFS(Working!$S:$S,Working!$A:$A,$A17)</f>
        <v/>
      </c>
    </row>
    <row r="18">
      <c r="A18" t="inlineStr">
        <is>
          <t>00049</t>
        </is>
      </c>
      <c r="B18" t="inlineStr">
        <is>
          <t>LuxCo</t>
        </is>
      </c>
      <c r="C18" t="inlineStr">
        <is>
          <t>CC-100</t>
        </is>
      </c>
      <c r="D18" t="inlineStr">
        <is>
          <t>2026-11</t>
        </is>
      </c>
      <c r="E18">
        <f>SUMIFS(Working!$S:$S,Working!$A:$A,$A18)</f>
        <v/>
      </c>
    </row>
    <row r="19">
      <c r="A19" t="inlineStr">
        <is>
          <t>00052</t>
        </is>
      </c>
      <c r="B19" t="inlineStr">
        <is>
          <t>LuxCo</t>
        </is>
      </c>
      <c r="C19" t="inlineStr">
        <is>
          <t>CC-130</t>
        </is>
      </c>
      <c r="D19" t="inlineStr">
        <is>
          <t>2026-11</t>
        </is>
      </c>
      <c r="E19">
        <f>SUMIFS(Working!$S:$S,Working!$A:$A,$A19)</f>
        <v/>
      </c>
    </row>
    <row r="20">
      <c r="A20" t="inlineStr">
        <is>
          <t>00055</t>
        </is>
      </c>
      <c r="B20" t="inlineStr">
        <is>
          <t>LuxCo</t>
        </is>
      </c>
      <c r="C20" t="inlineStr">
        <is>
          <t>CC-100</t>
        </is>
      </c>
      <c r="D20" t="inlineStr">
        <is>
          <t>2026-11</t>
        </is>
      </c>
      <c r="E20">
        <f>SUMIFS(Working!$S:$S,Working!$A:$A,$A20)</f>
        <v/>
      </c>
    </row>
    <row r="21">
      <c r="A21" t="inlineStr">
        <is>
          <t>00058</t>
        </is>
      </c>
      <c r="B21" t="inlineStr">
        <is>
          <t>LuxCo</t>
        </is>
      </c>
      <c r="C21" t="inlineStr">
        <is>
          <t>CC-130</t>
        </is>
      </c>
      <c r="D21" t="inlineStr">
        <is>
          <t>2026-11</t>
        </is>
      </c>
      <c r="E21">
        <f>SUMIFS(Working!$S:$S,Working!$A:$A,$A21)</f>
        <v/>
      </c>
    </row>
    <row r="22">
      <c r="A22" t="inlineStr">
        <is>
          <t>00061</t>
        </is>
      </c>
      <c r="B22" t="inlineStr">
        <is>
          <t>LuxCo</t>
        </is>
      </c>
      <c r="C22" t="inlineStr">
        <is>
          <t>CC-100</t>
        </is>
      </c>
      <c r="D22" t="inlineStr">
        <is>
          <t>2026-11</t>
        </is>
      </c>
      <c r="E22">
        <f>SUMIFS(Working!$S:$S,Working!$A:$A,$A22)</f>
        <v/>
      </c>
    </row>
    <row r="23">
      <c r="A23" t="inlineStr">
        <is>
          <t>00064</t>
        </is>
      </c>
      <c r="B23" t="inlineStr">
        <is>
          <t>LuxCo</t>
        </is>
      </c>
      <c r="C23" t="inlineStr">
        <is>
          <t>CC-130</t>
        </is>
      </c>
      <c r="D23" t="inlineStr">
        <is>
          <t>2026-11</t>
        </is>
      </c>
      <c r="E23">
        <f>SUMIFS(Working!$S:$S,Working!$A:$A,$A23)</f>
        <v/>
      </c>
    </row>
    <row r="24">
      <c r="A24" t="inlineStr">
        <is>
          <t>00067</t>
        </is>
      </c>
      <c r="B24" t="inlineStr">
        <is>
          <t>LuxCo</t>
        </is>
      </c>
      <c r="C24" t="inlineStr">
        <is>
          <t>CC-100</t>
        </is>
      </c>
      <c r="D24" t="inlineStr">
        <is>
          <t>2026-11</t>
        </is>
      </c>
      <c r="E24">
        <f>SUMIFS(Working!$S:$S,Working!$A:$A,$A24)</f>
        <v/>
      </c>
    </row>
    <row r="25">
      <c r="A25" t="inlineStr">
        <is>
          <t>00070</t>
        </is>
      </c>
      <c r="B25" t="inlineStr">
        <is>
          <t>LuxCo</t>
        </is>
      </c>
      <c r="C25" t="inlineStr">
        <is>
          <t>CC-130</t>
        </is>
      </c>
      <c r="D25" t="inlineStr">
        <is>
          <t>2026-11</t>
        </is>
      </c>
      <c r="E25">
        <f>SUMIFS(Working!$S:$S,Working!$A:$A,$A25)</f>
        <v/>
      </c>
    </row>
    <row r="26">
      <c r="A26" t="inlineStr">
        <is>
          <t>00073</t>
        </is>
      </c>
      <c r="B26" t="inlineStr">
        <is>
          <t>LuxCo</t>
        </is>
      </c>
      <c r="C26" t="inlineStr">
        <is>
          <t>CC-100</t>
        </is>
      </c>
      <c r="D26" t="inlineStr">
        <is>
          <t>2026-11</t>
        </is>
      </c>
      <c r="E26">
        <f>SUMIFS(Working!$S:$S,Working!$A:$A,$A26)</f>
        <v/>
      </c>
    </row>
    <row r="27">
      <c r="A27" t="inlineStr">
        <is>
          <t>00076</t>
        </is>
      </c>
      <c r="B27" t="inlineStr">
        <is>
          <t>LuxCo</t>
        </is>
      </c>
      <c r="C27" t="inlineStr">
        <is>
          <t>CC-130</t>
        </is>
      </c>
      <c r="D27" t="inlineStr">
        <is>
          <t>2026-11</t>
        </is>
      </c>
      <c r="E27">
        <f>SUMIFS(Working!$S:$S,Working!$A:$A,$A27)</f>
        <v/>
      </c>
    </row>
    <row r="28">
      <c r="A28" t="inlineStr">
        <is>
          <t>00079</t>
        </is>
      </c>
      <c r="B28" t="inlineStr">
        <is>
          <t>LuxCo</t>
        </is>
      </c>
      <c r="C28" t="inlineStr">
        <is>
          <t>CC-100</t>
        </is>
      </c>
      <c r="D28" t="inlineStr">
        <is>
          <t>2026-11</t>
        </is>
      </c>
      <c r="E28">
        <f>SUMIFS(Working!$S:$S,Working!$A:$A,$A28)</f>
        <v/>
      </c>
    </row>
    <row r="29">
      <c r="A29" t="inlineStr">
        <is>
          <t>00082</t>
        </is>
      </c>
      <c r="B29" t="inlineStr">
        <is>
          <t>LuxCo</t>
        </is>
      </c>
      <c r="C29" t="inlineStr">
        <is>
          <t>CC-130</t>
        </is>
      </c>
      <c r="D29" t="inlineStr">
        <is>
          <t>2026-11</t>
        </is>
      </c>
      <c r="E29">
        <f>SUMIFS(Working!$S:$S,Working!$A:$A,$A29)</f>
        <v/>
      </c>
    </row>
    <row r="30">
      <c r="B30" s="1" t="inlineStr">
        <is>
          <t>LuxCo subtotal</t>
        </is>
      </c>
      <c r="E30">
        <f>SUBTOTAL(9,E2:E29)</f>
        <v/>
      </c>
    </row>
    <row r="31">
      <c r="A31" t="inlineStr">
        <is>
          <t>00002</t>
        </is>
      </c>
      <c r="B31" t="inlineStr">
        <is>
          <t>UKCo</t>
        </is>
      </c>
      <c r="C31" t="inlineStr">
        <is>
          <t>CC-110</t>
        </is>
      </c>
      <c r="D31" t="inlineStr">
        <is>
          <t>2026-11</t>
        </is>
      </c>
      <c r="E31">
        <f>SUMIFS(Working!$S:$S,Working!$A:$A,$A31)</f>
        <v/>
      </c>
    </row>
    <row r="32">
      <c r="A32" t="inlineStr">
        <is>
          <t>00005</t>
        </is>
      </c>
      <c r="B32" t="inlineStr">
        <is>
          <t>UKCo</t>
        </is>
      </c>
      <c r="C32" t="inlineStr">
        <is>
          <t>CC-140</t>
        </is>
      </c>
      <c r="D32" t="inlineStr">
        <is>
          <t>2026-11</t>
        </is>
      </c>
      <c r="E32">
        <f>SUMIFS(Working!$S:$S,Working!$A:$A,$A32)</f>
        <v/>
      </c>
    </row>
    <row r="33">
      <c r="A33" t="inlineStr">
        <is>
          <t>00008</t>
        </is>
      </c>
      <c r="B33" t="inlineStr">
        <is>
          <t>UKCo</t>
        </is>
      </c>
      <c r="C33" t="inlineStr">
        <is>
          <t>CC-110</t>
        </is>
      </c>
      <c r="D33" t="inlineStr">
        <is>
          <t>2026-11</t>
        </is>
      </c>
      <c r="E33">
        <f>SUMIFS(Working!$S:$S,Working!$A:$A,$A33)</f>
        <v/>
      </c>
    </row>
    <row r="34">
      <c r="A34" t="inlineStr">
        <is>
          <t>00011</t>
        </is>
      </c>
      <c r="B34" t="inlineStr">
        <is>
          <t>UKCo</t>
        </is>
      </c>
      <c r="C34" t="inlineStr">
        <is>
          <t>CC-140</t>
        </is>
      </c>
      <c r="D34" t="inlineStr">
        <is>
          <t>2026-11</t>
        </is>
      </c>
      <c r="E34">
        <f>SUMIFS(Working!$S:$S,Working!$A:$A,$A34)</f>
        <v/>
      </c>
    </row>
    <row r="35">
      <c r="A35" t="inlineStr">
        <is>
          <t>00014</t>
        </is>
      </c>
      <c r="B35" t="inlineStr">
        <is>
          <t>UKCo</t>
        </is>
      </c>
      <c r="C35" t="inlineStr">
        <is>
          <t>CC-110</t>
        </is>
      </c>
      <c r="D35" t="inlineStr">
        <is>
          <t>2026-11</t>
        </is>
      </c>
      <c r="E35">
        <f>SUMIFS(Working!$S:$S,Working!$A:$A,$A35)</f>
        <v/>
      </c>
    </row>
    <row r="36">
      <c r="A36" t="inlineStr">
        <is>
          <t>00017</t>
        </is>
      </c>
      <c r="B36" t="inlineStr">
        <is>
          <t>UKCo</t>
        </is>
      </c>
      <c r="C36" t="inlineStr">
        <is>
          <t>CC-140</t>
        </is>
      </c>
      <c r="D36" t="inlineStr">
        <is>
          <t>2026-11</t>
        </is>
      </c>
      <c r="E36">
        <f>SUMIFS(Working!$S:$S,Working!$A:$A,$A36)</f>
        <v/>
      </c>
    </row>
    <row r="37">
      <c r="A37" t="inlineStr">
        <is>
          <t>00020</t>
        </is>
      </c>
      <c r="B37" t="inlineStr">
        <is>
          <t>UKCo</t>
        </is>
      </c>
      <c r="C37" t="inlineStr">
        <is>
          <t>CC-110</t>
        </is>
      </c>
      <c r="D37" t="inlineStr">
        <is>
          <t>2026-11</t>
        </is>
      </c>
      <c r="E37">
        <f>SUMIFS(Working!$S:$S,Working!$A:$A,$A37)</f>
        <v/>
      </c>
    </row>
    <row r="38">
      <c r="A38" t="inlineStr">
        <is>
          <t>00023</t>
        </is>
      </c>
      <c r="B38" t="inlineStr">
        <is>
          <t>UKCo</t>
        </is>
      </c>
      <c r="C38" t="inlineStr">
        <is>
          <t>CC-140</t>
        </is>
      </c>
      <c r="D38" t="inlineStr">
        <is>
          <t>2026-11</t>
        </is>
      </c>
      <c r="E38">
        <f>SUMIFS(Working!$S:$S,Working!$A:$A,$A38)</f>
        <v/>
      </c>
    </row>
    <row r="39">
      <c r="A39" t="inlineStr">
        <is>
          <t>00026</t>
        </is>
      </c>
      <c r="B39" t="inlineStr">
        <is>
          <t>UKCo</t>
        </is>
      </c>
      <c r="C39" t="inlineStr">
        <is>
          <t>CC-110</t>
        </is>
      </c>
      <c r="D39" t="inlineStr">
        <is>
          <t>2026-11</t>
        </is>
      </c>
      <c r="E39">
        <f>SUMIFS(Working!$S:$S,Working!$A:$A,$A39)</f>
        <v/>
      </c>
    </row>
    <row r="40">
      <c r="A40" t="inlineStr">
        <is>
          <t>00029</t>
        </is>
      </c>
      <c r="B40" t="inlineStr">
        <is>
          <t>UKCo</t>
        </is>
      </c>
      <c r="C40" t="inlineStr">
        <is>
          <t>CC-140</t>
        </is>
      </c>
      <c r="D40" t="inlineStr">
        <is>
          <t>2026-11</t>
        </is>
      </c>
      <c r="E40">
        <f>SUMIFS(Working!$S:$S,Working!$A:$A,$A40)</f>
        <v/>
      </c>
    </row>
    <row r="41">
      <c r="A41" t="inlineStr">
        <is>
          <t>00032</t>
        </is>
      </c>
      <c r="B41" t="inlineStr">
        <is>
          <t>UKCo</t>
        </is>
      </c>
      <c r="C41" t="inlineStr">
        <is>
          <t>CC-110</t>
        </is>
      </c>
      <c r="D41" t="inlineStr">
        <is>
          <t>2026-11</t>
        </is>
      </c>
      <c r="E41">
        <f>SUMIFS(Working!$S:$S,Working!$A:$A,$A41)</f>
        <v/>
      </c>
    </row>
    <row r="42">
      <c r="A42" t="inlineStr">
        <is>
          <t>00035</t>
        </is>
      </c>
      <c r="B42" t="inlineStr">
        <is>
          <t>UKCo</t>
        </is>
      </c>
      <c r="C42" t="inlineStr">
        <is>
          <t>CC-140</t>
        </is>
      </c>
      <c r="D42" t="inlineStr">
        <is>
          <t>2026-11</t>
        </is>
      </c>
      <c r="E42">
        <f>SUMIFS(Working!$S:$S,Working!$A:$A,$A42)</f>
        <v/>
      </c>
    </row>
    <row r="43">
      <c r="A43" t="inlineStr">
        <is>
          <t>00038</t>
        </is>
      </c>
      <c r="B43" t="inlineStr">
        <is>
          <t>UKCo</t>
        </is>
      </c>
      <c r="C43" t="inlineStr">
        <is>
          <t>CC-110</t>
        </is>
      </c>
      <c r="D43" t="inlineStr">
        <is>
          <t>2026-11</t>
        </is>
      </c>
      <c r="E43">
        <f>SUMIFS(Working!$S:$S,Working!$A:$A,$A43)</f>
        <v/>
      </c>
    </row>
    <row r="44">
      <c r="A44" t="inlineStr">
        <is>
          <t>00041</t>
        </is>
      </c>
      <c r="B44" t="inlineStr">
        <is>
          <t>UKCo</t>
        </is>
      </c>
      <c r="C44" t="inlineStr">
        <is>
          <t>CC-140</t>
        </is>
      </c>
      <c r="D44" t="inlineStr">
        <is>
          <t>2026-11</t>
        </is>
      </c>
      <c r="E44">
        <f>SUMIFS(Working!$S:$S,Working!$A:$A,$A44)</f>
        <v/>
      </c>
    </row>
    <row r="45">
      <c r="A45" t="inlineStr">
        <is>
          <t>00044</t>
        </is>
      </c>
      <c r="B45" t="inlineStr">
        <is>
          <t>UKCo</t>
        </is>
      </c>
      <c r="C45" t="inlineStr">
        <is>
          <t>CC-110</t>
        </is>
      </c>
      <c r="D45" t="inlineStr">
        <is>
          <t>2026-11</t>
        </is>
      </c>
      <c r="E45">
        <f>SUMIFS(Working!$S:$S,Working!$A:$A,$A45)</f>
        <v/>
      </c>
    </row>
    <row r="46">
      <c r="A46" t="inlineStr">
        <is>
          <t>00047</t>
        </is>
      </c>
      <c r="B46" t="inlineStr">
        <is>
          <t>UKCo</t>
        </is>
      </c>
      <c r="C46" t="inlineStr">
        <is>
          <t>CC-140</t>
        </is>
      </c>
      <c r="D46" t="inlineStr">
        <is>
          <t>2026-11</t>
        </is>
      </c>
      <c r="E46">
        <f>SUMIFS(Working!$S:$S,Working!$A:$A,$A46)</f>
        <v/>
      </c>
    </row>
    <row r="47">
      <c r="A47" t="inlineStr">
        <is>
          <t>00050</t>
        </is>
      </c>
      <c r="B47" t="inlineStr">
        <is>
          <t>UKCo</t>
        </is>
      </c>
      <c r="C47" t="inlineStr">
        <is>
          <t>CC-110</t>
        </is>
      </c>
      <c r="D47" t="inlineStr">
        <is>
          <t>2026-11</t>
        </is>
      </c>
      <c r="E47">
        <f>SUMIFS(Working!$S:$S,Working!$A:$A,$A47)</f>
        <v/>
      </c>
    </row>
    <row r="48">
      <c r="A48" t="inlineStr">
        <is>
          <t>00053</t>
        </is>
      </c>
      <c r="B48" t="inlineStr">
        <is>
          <t>UKCo</t>
        </is>
      </c>
      <c r="C48" t="inlineStr">
        <is>
          <t>CC-140</t>
        </is>
      </c>
      <c r="D48" t="inlineStr">
        <is>
          <t>2026-11</t>
        </is>
      </c>
      <c r="E48">
        <f>SUMIFS(Working!$S:$S,Working!$A:$A,$A48)</f>
        <v/>
      </c>
    </row>
    <row r="49">
      <c r="A49" t="inlineStr">
        <is>
          <t>00056</t>
        </is>
      </c>
      <c r="B49" t="inlineStr">
        <is>
          <t>UKCo</t>
        </is>
      </c>
      <c r="C49" t="inlineStr">
        <is>
          <t>CC-110</t>
        </is>
      </c>
      <c r="D49" t="inlineStr">
        <is>
          <t>2026-11</t>
        </is>
      </c>
      <c r="E49">
        <f>SUMIFS(Working!$S:$S,Working!$A:$A,$A49)</f>
        <v/>
      </c>
    </row>
    <row r="50">
      <c r="A50" t="inlineStr">
        <is>
          <t>00059</t>
        </is>
      </c>
      <c r="B50" t="inlineStr">
        <is>
          <t>UKCo</t>
        </is>
      </c>
      <c r="C50" t="inlineStr">
        <is>
          <t>CC-140</t>
        </is>
      </c>
      <c r="D50" t="inlineStr">
        <is>
          <t>2026-11</t>
        </is>
      </c>
      <c r="E50">
        <f>SUMIFS(Working!$S:$S,Working!$A:$A,$A50)</f>
        <v/>
      </c>
    </row>
    <row r="51">
      <c r="A51" t="inlineStr">
        <is>
          <t>00062</t>
        </is>
      </c>
      <c r="B51" t="inlineStr">
        <is>
          <t>UKCo</t>
        </is>
      </c>
      <c r="C51" t="inlineStr">
        <is>
          <t>CC-110</t>
        </is>
      </c>
      <c r="D51" t="inlineStr">
        <is>
          <t>2026-11</t>
        </is>
      </c>
      <c r="E51">
        <f>SUMIFS(Working!$S:$S,Working!$A:$A,$A51)</f>
        <v/>
      </c>
    </row>
    <row r="52">
      <c r="A52" t="inlineStr">
        <is>
          <t>00065</t>
        </is>
      </c>
      <c r="B52" t="inlineStr">
        <is>
          <t>UKCo</t>
        </is>
      </c>
      <c r="C52" t="inlineStr">
        <is>
          <t>CC-140</t>
        </is>
      </c>
      <c r="D52" t="inlineStr">
        <is>
          <t>2026-11</t>
        </is>
      </c>
      <c r="E52">
        <f>SUMIFS(Working!$S:$S,Working!$A:$A,$A52)</f>
        <v/>
      </c>
    </row>
    <row r="53">
      <c r="A53" t="inlineStr">
        <is>
          <t>00068</t>
        </is>
      </c>
      <c r="B53" t="inlineStr">
        <is>
          <t>UKCo</t>
        </is>
      </c>
      <c r="C53" t="inlineStr">
        <is>
          <t>CC-110</t>
        </is>
      </c>
      <c r="D53" t="inlineStr">
        <is>
          <t>2026-11</t>
        </is>
      </c>
      <c r="E53">
        <f>SUMIFS(Working!$S:$S,Working!$A:$A,$A53)</f>
        <v/>
      </c>
    </row>
    <row r="54">
      <c r="A54" t="inlineStr">
        <is>
          <t>00071</t>
        </is>
      </c>
      <c r="B54" t="inlineStr">
        <is>
          <t>UKCo</t>
        </is>
      </c>
      <c r="C54" t="inlineStr">
        <is>
          <t>CC-140</t>
        </is>
      </c>
      <c r="D54" t="inlineStr">
        <is>
          <t>2026-11</t>
        </is>
      </c>
      <c r="E54">
        <f>SUMIFS(Working!$S:$S,Working!$A:$A,$A54)</f>
        <v/>
      </c>
    </row>
    <row r="55">
      <c r="A55" t="inlineStr">
        <is>
          <t>00074</t>
        </is>
      </c>
      <c r="B55" t="inlineStr">
        <is>
          <t>UKCo</t>
        </is>
      </c>
      <c r="C55" t="inlineStr">
        <is>
          <t>CC-110</t>
        </is>
      </c>
      <c r="D55" t="inlineStr">
        <is>
          <t>2026-11</t>
        </is>
      </c>
      <c r="E55">
        <f>SUMIFS(Working!$S:$S,Working!$A:$A,$A55)</f>
        <v/>
      </c>
    </row>
    <row r="56">
      <c r="A56" t="inlineStr">
        <is>
          <t>00077</t>
        </is>
      </c>
      <c r="B56" t="inlineStr">
        <is>
          <t>UKCo</t>
        </is>
      </c>
      <c r="C56" t="inlineStr">
        <is>
          <t>CC-140</t>
        </is>
      </c>
      <c r="D56" t="inlineStr">
        <is>
          <t>2026-11</t>
        </is>
      </c>
      <c r="E56">
        <f>SUMIFS(Working!$S:$S,Working!$A:$A,$A56)</f>
        <v/>
      </c>
    </row>
    <row r="57">
      <c r="A57" t="inlineStr">
        <is>
          <t>00080</t>
        </is>
      </c>
      <c r="B57" t="inlineStr">
        <is>
          <t>UKCo</t>
        </is>
      </c>
      <c r="C57" t="inlineStr">
        <is>
          <t>CC-110</t>
        </is>
      </c>
      <c r="D57" t="inlineStr">
        <is>
          <t>2026-11</t>
        </is>
      </c>
      <c r="E57">
        <f>SUMIFS(Working!$S:$S,Working!$A:$A,$A57)</f>
        <v/>
      </c>
    </row>
    <row r="58">
      <c r="A58" t="inlineStr">
        <is>
          <t>00083</t>
        </is>
      </c>
      <c r="B58" t="inlineStr">
        <is>
          <t>UKCo</t>
        </is>
      </c>
      <c r="C58" t="inlineStr">
        <is>
          <t>CC-140</t>
        </is>
      </c>
      <c r="D58" t="inlineStr">
        <is>
          <t>2026-11</t>
        </is>
      </c>
      <c r="E58">
        <f>SUMIFS(Working!$S:$S,Working!$A:$A,$A58)</f>
        <v/>
      </c>
    </row>
    <row r="59">
      <c r="B59" s="1" t="inlineStr">
        <is>
          <t>UKCo subtotal</t>
        </is>
      </c>
      <c r="E59">
        <f>SUBTOTAL(9,E31:E58)</f>
        <v/>
      </c>
    </row>
    <row r="60">
      <c r="A60" t="inlineStr">
        <is>
          <t>00003</t>
        </is>
      </c>
      <c r="B60" t="inlineStr">
        <is>
          <t>DubCo</t>
        </is>
      </c>
      <c r="C60" t="inlineStr">
        <is>
          <t>CC-120</t>
        </is>
      </c>
      <c r="D60" t="inlineStr">
        <is>
          <t>2026-11</t>
        </is>
      </c>
      <c r="E60">
        <f>SUMIFS(Working!$S:$S,Working!$A:$A,$A60)</f>
        <v/>
      </c>
    </row>
    <row r="61">
      <c r="A61" t="inlineStr">
        <is>
          <t>00006</t>
        </is>
      </c>
      <c r="B61" t="inlineStr">
        <is>
          <t>DubCo</t>
        </is>
      </c>
      <c r="C61" t="inlineStr">
        <is>
          <t>CC-150</t>
        </is>
      </c>
      <c r="D61" t="inlineStr">
        <is>
          <t>2026-11</t>
        </is>
      </c>
      <c r="E61">
        <f>SUMIFS(Working!$S:$S,Working!$A:$A,$A61)</f>
        <v/>
      </c>
    </row>
    <row r="62">
      <c r="A62" t="inlineStr">
        <is>
          <t>00009</t>
        </is>
      </c>
      <c r="B62" t="inlineStr">
        <is>
          <t>DubCo</t>
        </is>
      </c>
      <c r="C62" t="inlineStr">
        <is>
          <t>CC-120</t>
        </is>
      </c>
      <c r="D62" t="inlineStr">
        <is>
          <t>2026-11</t>
        </is>
      </c>
      <c r="E62">
        <f>SUMIFS(Working!$S:$S,Working!$A:$A,$A62)</f>
        <v/>
      </c>
    </row>
    <row r="63">
      <c r="A63" t="inlineStr">
        <is>
          <t>00012</t>
        </is>
      </c>
      <c r="B63" t="inlineStr">
        <is>
          <t>DubCo</t>
        </is>
      </c>
      <c r="C63" t="inlineStr">
        <is>
          <t>CC-150</t>
        </is>
      </c>
      <c r="D63" t="inlineStr">
        <is>
          <t>2026-11</t>
        </is>
      </c>
      <c r="E63">
        <f>SUMIFS(Working!$S:$S,Working!$A:$A,$A63)</f>
        <v/>
      </c>
    </row>
    <row r="64">
      <c r="A64" t="inlineStr">
        <is>
          <t>00015</t>
        </is>
      </c>
      <c r="B64" t="inlineStr">
        <is>
          <t>DubCo</t>
        </is>
      </c>
      <c r="C64" t="inlineStr">
        <is>
          <t>CC-120</t>
        </is>
      </c>
      <c r="D64" t="inlineStr">
        <is>
          <t>2026-11</t>
        </is>
      </c>
      <c r="E64">
        <f>SUMIFS(Working!$S:$S,Working!$A:$A,$A64)</f>
        <v/>
      </c>
    </row>
    <row r="65">
      <c r="A65" t="inlineStr">
        <is>
          <t>00018</t>
        </is>
      </c>
      <c r="B65" t="inlineStr">
        <is>
          <t>DubCo</t>
        </is>
      </c>
      <c r="C65" t="inlineStr">
        <is>
          <t>CC-150</t>
        </is>
      </c>
      <c r="D65" t="inlineStr">
        <is>
          <t>2026-11</t>
        </is>
      </c>
      <c r="E65">
        <f>SUMIFS(Working!$S:$S,Working!$A:$A,$A65)</f>
        <v/>
      </c>
    </row>
    <row r="66">
      <c r="A66" t="inlineStr">
        <is>
          <t>00021</t>
        </is>
      </c>
      <c r="B66" t="inlineStr">
        <is>
          <t>DubCo</t>
        </is>
      </c>
      <c r="C66" t="inlineStr">
        <is>
          <t>CC-120</t>
        </is>
      </c>
      <c r="D66" t="inlineStr">
        <is>
          <t>2026-11</t>
        </is>
      </c>
      <c r="E66">
        <f>SUMIFS(Working!$S:$S,Working!$A:$A,$A66)</f>
        <v/>
      </c>
    </row>
    <row r="67">
      <c r="A67" t="inlineStr">
        <is>
          <t>00024</t>
        </is>
      </c>
      <c r="B67" t="inlineStr">
        <is>
          <t>DubCo</t>
        </is>
      </c>
      <c r="C67" t="inlineStr">
        <is>
          <t>CC-150</t>
        </is>
      </c>
      <c r="D67" t="inlineStr">
        <is>
          <t>2026-11</t>
        </is>
      </c>
      <c r="E67">
        <f>SUMIFS(Working!$S:$S,Working!$A:$A,$A67)</f>
        <v/>
      </c>
    </row>
    <row r="68">
      <c r="A68" t="inlineStr">
        <is>
          <t>00027</t>
        </is>
      </c>
      <c r="B68" t="inlineStr">
        <is>
          <t>DubCo</t>
        </is>
      </c>
      <c r="C68" t="inlineStr">
        <is>
          <t>CC-120</t>
        </is>
      </c>
      <c r="D68" t="inlineStr">
        <is>
          <t>2026-11</t>
        </is>
      </c>
      <c r="E68">
        <f>SUMIFS(Working!$S:$S,Working!$A:$A,$A68)</f>
        <v/>
      </c>
    </row>
    <row r="69">
      <c r="A69" t="inlineStr">
        <is>
          <t>00030</t>
        </is>
      </c>
      <c r="B69" t="inlineStr">
        <is>
          <t>DubCo</t>
        </is>
      </c>
      <c r="C69" t="inlineStr">
        <is>
          <t>CC-150</t>
        </is>
      </c>
      <c r="D69" t="inlineStr">
        <is>
          <t>2026-11</t>
        </is>
      </c>
      <c r="E69">
        <f>SUMIFS(Working!$S:$S,Working!$A:$A,$A69)</f>
        <v/>
      </c>
    </row>
    <row r="70">
      <c r="A70" t="inlineStr">
        <is>
          <t>00033</t>
        </is>
      </c>
      <c r="B70" t="inlineStr">
        <is>
          <t>DubCo</t>
        </is>
      </c>
      <c r="C70" t="inlineStr">
        <is>
          <t>CC-120</t>
        </is>
      </c>
      <c r="D70" t="inlineStr">
        <is>
          <t>2026-11</t>
        </is>
      </c>
      <c r="E70">
        <f>SUMIFS(Working!$S:$S,Working!$A:$A,$A70)</f>
        <v/>
      </c>
    </row>
    <row r="71">
      <c r="A71" t="inlineStr">
        <is>
          <t>00036</t>
        </is>
      </c>
      <c r="B71" t="inlineStr">
        <is>
          <t>DubCo</t>
        </is>
      </c>
      <c r="C71" t="inlineStr">
        <is>
          <t>CC-150</t>
        </is>
      </c>
      <c r="D71" t="inlineStr">
        <is>
          <t>2026-11</t>
        </is>
      </c>
      <c r="E71">
        <f>SUMIFS(Working!$S:$S,Working!$A:$A,$A71)</f>
        <v/>
      </c>
    </row>
    <row r="72">
      <c r="A72" t="inlineStr">
        <is>
          <t>00039</t>
        </is>
      </c>
      <c r="B72" t="inlineStr">
        <is>
          <t>DubCo</t>
        </is>
      </c>
      <c r="C72" t="inlineStr">
        <is>
          <t>CC-120</t>
        </is>
      </c>
      <c r="D72" t="inlineStr">
        <is>
          <t>2026-11</t>
        </is>
      </c>
      <c r="E72">
        <f>SUMIFS(Working!$S:$S,Working!$A:$A,$A72)</f>
        <v/>
      </c>
    </row>
    <row r="73">
      <c r="A73" t="inlineStr">
        <is>
          <t>00042</t>
        </is>
      </c>
      <c r="B73" t="inlineStr">
        <is>
          <t>DubCo</t>
        </is>
      </c>
      <c r="C73" t="inlineStr">
        <is>
          <t>CC-150</t>
        </is>
      </c>
      <c r="D73" t="inlineStr">
        <is>
          <t>2026-11</t>
        </is>
      </c>
      <c r="E73">
        <f>SUMIFS(Working!$S:$S,Working!$A:$A,$A73)</f>
        <v/>
      </c>
    </row>
    <row r="74">
      <c r="A74" t="inlineStr">
        <is>
          <t>00045</t>
        </is>
      </c>
      <c r="B74" t="inlineStr">
        <is>
          <t>DubCo</t>
        </is>
      </c>
      <c r="C74" t="inlineStr">
        <is>
          <t>CC-120</t>
        </is>
      </c>
      <c r="D74" t="inlineStr">
        <is>
          <t>2026-11</t>
        </is>
      </c>
      <c r="E74">
        <f>SUMIFS(Working!$S:$S,Working!$A:$A,$A74)</f>
        <v/>
      </c>
    </row>
    <row r="75">
      <c r="A75" t="inlineStr">
        <is>
          <t>00048</t>
        </is>
      </c>
      <c r="B75" t="inlineStr">
        <is>
          <t>DubCo</t>
        </is>
      </c>
      <c r="C75" t="inlineStr">
        <is>
          <t>CC-150</t>
        </is>
      </c>
      <c r="D75" t="inlineStr">
        <is>
          <t>2026-11</t>
        </is>
      </c>
      <c r="E75">
        <f>SUMIFS(Working!$S:$S,Working!$A:$A,$A75)</f>
        <v/>
      </c>
    </row>
    <row r="76">
      <c r="A76" t="inlineStr">
        <is>
          <t>00051</t>
        </is>
      </c>
      <c r="B76" t="inlineStr">
        <is>
          <t>DubCo</t>
        </is>
      </c>
      <c r="C76" t="inlineStr">
        <is>
          <t>CC-120</t>
        </is>
      </c>
      <c r="D76" t="inlineStr">
        <is>
          <t>2026-11</t>
        </is>
      </c>
      <c r="E76">
        <f>SUMIFS(Working!$S:$S,Working!$A:$A,$A76)</f>
        <v/>
      </c>
    </row>
    <row r="77">
      <c r="A77" t="inlineStr">
        <is>
          <t>00054</t>
        </is>
      </c>
      <c r="B77" t="inlineStr">
        <is>
          <t>DubCo</t>
        </is>
      </c>
      <c r="C77" t="inlineStr">
        <is>
          <t>CC-150</t>
        </is>
      </c>
      <c r="D77" t="inlineStr">
        <is>
          <t>2026-11</t>
        </is>
      </c>
      <c r="E77">
        <f>SUMIFS(Working!$S:$S,Working!$A:$A,$A77)</f>
        <v/>
      </c>
    </row>
    <row r="78">
      <c r="A78" t="inlineStr">
        <is>
          <t>00057</t>
        </is>
      </c>
      <c r="B78" t="inlineStr">
        <is>
          <t>DubCo</t>
        </is>
      </c>
      <c r="C78" t="inlineStr">
        <is>
          <t>CC-120</t>
        </is>
      </c>
      <c r="D78" t="inlineStr">
        <is>
          <t>2026-11</t>
        </is>
      </c>
      <c r="E78">
        <f>SUMIFS(Working!$S:$S,Working!$A:$A,$A78)</f>
        <v/>
      </c>
    </row>
    <row r="79">
      <c r="A79" t="inlineStr">
        <is>
          <t>00060</t>
        </is>
      </c>
      <c r="B79" t="inlineStr">
        <is>
          <t>DubCo</t>
        </is>
      </c>
      <c r="C79" t="inlineStr">
        <is>
          <t>CC-150</t>
        </is>
      </c>
      <c r="D79" t="inlineStr">
        <is>
          <t>2026-11</t>
        </is>
      </c>
      <c r="E79">
        <f>SUMIFS(Working!$S:$S,Working!$A:$A,$A79)</f>
        <v/>
      </c>
    </row>
    <row r="80">
      <c r="A80" t="inlineStr">
        <is>
          <t>00063</t>
        </is>
      </c>
      <c r="B80" t="inlineStr">
        <is>
          <t>DubCo</t>
        </is>
      </c>
      <c r="C80" t="inlineStr">
        <is>
          <t>CC-120</t>
        </is>
      </c>
      <c r="D80" t="inlineStr">
        <is>
          <t>2026-11</t>
        </is>
      </c>
      <c r="E80">
        <f>SUMIFS(Working!$S:$S,Working!$A:$A,$A80)</f>
        <v/>
      </c>
    </row>
    <row r="81">
      <c r="A81" t="inlineStr">
        <is>
          <t>00066</t>
        </is>
      </c>
      <c r="B81" t="inlineStr">
        <is>
          <t>DubCo</t>
        </is>
      </c>
      <c r="C81" t="inlineStr">
        <is>
          <t>CC-150</t>
        </is>
      </c>
      <c r="D81" t="inlineStr">
        <is>
          <t>2026-11</t>
        </is>
      </c>
      <c r="E81">
        <f>SUMIFS(Working!$S:$S,Working!$A:$A,$A81)</f>
        <v/>
      </c>
    </row>
    <row r="82">
      <c r="A82" t="inlineStr">
        <is>
          <t>00069</t>
        </is>
      </c>
      <c r="B82" t="inlineStr">
        <is>
          <t>DubCo</t>
        </is>
      </c>
      <c r="C82" t="inlineStr">
        <is>
          <t>CC-120</t>
        </is>
      </c>
      <c r="D82" t="inlineStr">
        <is>
          <t>2026-11</t>
        </is>
      </c>
      <c r="E82">
        <f>SUMIFS(Working!$S:$S,Working!$A:$A,$A82)</f>
        <v/>
      </c>
    </row>
    <row r="83">
      <c r="A83" t="inlineStr">
        <is>
          <t>00072</t>
        </is>
      </c>
      <c r="B83" t="inlineStr">
        <is>
          <t>DubCo</t>
        </is>
      </c>
      <c r="C83" t="inlineStr">
        <is>
          <t>CC-150</t>
        </is>
      </c>
      <c r="D83" t="inlineStr">
        <is>
          <t>2026-11</t>
        </is>
      </c>
      <c r="E83">
        <f>SUMIFS(Working!$S:$S,Working!$A:$A,$A83)</f>
        <v/>
      </c>
    </row>
    <row r="84">
      <c r="A84" t="inlineStr">
        <is>
          <t>00075</t>
        </is>
      </c>
      <c r="B84" t="inlineStr">
        <is>
          <t>DubCo</t>
        </is>
      </c>
      <c r="C84" t="inlineStr">
        <is>
          <t>CC-120</t>
        </is>
      </c>
      <c r="D84" t="inlineStr">
        <is>
          <t>2026-11</t>
        </is>
      </c>
      <c r="E84">
        <f>SUMIFS(Working!$S:$S,Working!$A:$A,$A84)</f>
        <v/>
      </c>
    </row>
    <row r="85">
      <c r="A85" t="inlineStr">
        <is>
          <t>00078</t>
        </is>
      </c>
      <c r="B85" t="inlineStr">
        <is>
          <t>DubCo</t>
        </is>
      </c>
      <c r="C85" t="inlineStr">
        <is>
          <t>CC-150</t>
        </is>
      </c>
      <c r="D85" t="inlineStr">
        <is>
          <t>2026-11</t>
        </is>
      </c>
      <c r="E85">
        <f>SUMIFS(Working!$S:$S,Working!$A:$A,$A85)</f>
        <v/>
      </c>
    </row>
    <row r="86">
      <c r="A86" t="inlineStr">
        <is>
          <t>00081</t>
        </is>
      </c>
      <c r="B86" t="inlineStr">
        <is>
          <t>DubCo</t>
        </is>
      </c>
      <c r="C86" t="inlineStr">
        <is>
          <t>CC-120</t>
        </is>
      </c>
      <c r="D86" t="inlineStr">
        <is>
          <t>2026-11</t>
        </is>
      </c>
      <c r="E86">
        <f>SUMIFS(Working!$S:$S,Working!$A:$A,$A86)</f>
        <v/>
      </c>
    </row>
    <row r="87">
      <c r="A87" t="inlineStr">
        <is>
          <t>00084</t>
        </is>
      </c>
      <c r="B87" t="inlineStr">
        <is>
          <t>DubCo</t>
        </is>
      </c>
      <c r="C87" t="inlineStr">
        <is>
          <t>CC-150</t>
        </is>
      </c>
      <c r="D87" t="inlineStr">
        <is>
          <t>2026-11</t>
        </is>
      </c>
      <c r="E87">
        <f>SUMIFS(Working!$S:$S,Working!$A:$A,$A87)</f>
        <v/>
      </c>
    </row>
    <row r="88">
      <c r="B88" s="1" t="inlineStr">
        <is>
          <t>DubCo subtotal</t>
        </is>
      </c>
      <c r="E88">
        <f>SUBTOTAL(9,E60:E87)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TODO(kedge): pivot over Allocation, built by Excel. See build_pivot.py.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87"/>
  <sheetViews>
    <sheetView workbookViewId="0">
      <selection activeCell="A1" sqref="A1"/>
    </sheetView>
  </sheetViews>
  <sheetFormatPr baseColWidth="8" defaultRowHeight="15"/>
  <sheetData>
    <row r="1">
      <c r="A1" s="1" t="inlineStr">
        <is>
          <t>Run these against the ledger once the fee run is approved.</t>
        </is>
      </c>
    </row>
    <row r="3">
      <c r="A3" s="1" t="inlineStr">
        <is>
          <t>statement</t>
        </is>
      </c>
    </row>
    <row r="4">
      <c r="A4">
        <f>"INSERT INTO fin.fee_invoice (client_code, period_month, fee_gbp) VALUES ('"&amp;$A19&amp;"', '"&amp;$D19&amp;"', "&amp;$S19&amp;");"</f>
        <v/>
      </c>
    </row>
    <row r="5">
      <c r="A5">
        <f>"INSERT INTO fin.fee_invoice (client_code, period_month, fee_gbp) VALUES ('"&amp;$A20&amp;"', '"&amp;$D20&amp;"', "&amp;$S20&amp;");"</f>
        <v/>
      </c>
    </row>
    <row r="6">
      <c r="A6">
        <f>"INSERT INTO fin.fee_invoice (client_code, period_month, fee_gbp) VALUES ('"&amp;$A21&amp;"', '"&amp;$D21&amp;"', "&amp;$S21&amp;");"</f>
        <v/>
      </c>
    </row>
    <row r="7">
      <c r="A7">
        <f>"INSERT INTO fin.fee_invoice (client_code, period_month, fee_gbp) VALUES ('"&amp;$A22&amp;"', '"&amp;$D22&amp;"', "&amp;$S22&amp;");"</f>
        <v/>
      </c>
    </row>
    <row r="8">
      <c r="A8">
        <f>"INSERT INTO fin.fee_invoice (client_code, period_month, fee_gbp) VALUES ('"&amp;$A23&amp;"', '"&amp;$D23&amp;"', "&amp;$S23&amp;");"</f>
        <v/>
      </c>
    </row>
    <row r="9">
      <c r="A9">
        <f>"INSERT INTO fin.fee_invoice (client_code, period_month, fee_gbp) VALUES ('"&amp;$A24&amp;"', '"&amp;$D24&amp;"', "&amp;$S24&amp;");"</f>
        <v/>
      </c>
    </row>
    <row r="10">
      <c r="A10">
        <f>"INSERT INTO fin.fee_invoice (client_code, period_month, fee_gbp) VALUES ('"&amp;$A25&amp;"', '"&amp;$D25&amp;"', "&amp;$S25&amp;");"</f>
        <v/>
      </c>
    </row>
    <row r="11">
      <c r="A11">
        <f>"INSERT INTO fin.fee_invoice (client_code, period_month, fee_gbp) VALUES ('"&amp;$A26&amp;"', '"&amp;$D26&amp;"', "&amp;$S26&amp;");"</f>
        <v/>
      </c>
    </row>
    <row r="12">
      <c r="A12">
        <f>"INSERT INTO fin.fee_invoice (client_code, period_month, fee_gbp) VALUES ('"&amp;$A27&amp;"', '"&amp;$D27&amp;"', "&amp;$S27&amp;");"</f>
        <v/>
      </c>
    </row>
    <row r="13">
      <c r="A13">
        <f>"INSERT INTO fin.fee_invoice (client_code, period_month, fee_gbp) VALUES ('"&amp;$A28&amp;"', '"&amp;$D28&amp;"', "&amp;$S28&amp;");"</f>
        <v/>
      </c>
    </row>
    <row r="14">
      <c r="A14">
        <f>"INSERT INTO fin.fee_invoice (client_code, period_month, fee_gbp) VALUES ('"&amp;$A29&amp;"', '"&amp;$D29&amp;"', "&amp;$S29&amp;");"</f>
        <v/>
      </c>
    </row>
    <row r="15">
      <c r="A15">
        <f>"INSERT INTO fin.fee_invoice (client_code, period_month, fee_gbp) VALUES ('"&amp;$A30&amp;"', '"&amp;$D30&amp;"', "&amp;$S30&amp;");"</f>
        <v/>
      </c>
    </row>
    <row r="16">
      <c r="A16">
        <f>"INSERT INTO fin.fee_invoice (client_code, period_month, fee_gbp) VALUES ('"&amp;$A31&amp;"', '"&amp;$D31&amp;"', "&amp;$S31&amp;");"</f>
        <v/>
      </c>
    </row>
    <row r="17">
      <c r="A17">
        <f>"INSERT INTO fin.fee_invoice (client_code, period_month, fee_gbp) VALUES ('"&amp;$A32&amp;"', '"&amp;$D32&amp;"', "&amp;$S32&amp;");"</f>
        <v/>
      </c>
    </row>
    <row r="18">
      <c r="A18">
        <f>"INSERT INTO fin.fee_invoice (client_code, period_month, fee_gbp) VALUES ('"&amp;$A33&amp;"', '"&amp;$D33&amp;"', "&amp;$S33&amp;");"</f>
        <v/>
      </c>
    </row>
    <row r="19">
      <c r="A19">
        <f>"INSERT INTO fin.fee_invoice (client_code, period_month, fee_gbp) VALUES ('"&amp;$A34&amp;"', '"&amp;$D34&amp;"', "&amp;$S34&amp;");"</f>
        <v/>
      </c>
    </row>
    <row r="20">
      <c r="A20">
        <f>"INSERT INTO fin.fee_invoice (client_code, period_month, fee_gbp) VALUES ('"&amp;$A35&amp;"', '"&amp;$D35&amp;"', "&amp;$S35&amp;");"</f>
        <v/>
      </c>
    </row>
    <row r="21">
      <c r="A21">
        <f>"INSERT INTO fin.fee_invoice (client_code, period_month, fee_gbp) VALUES ('"&amp;$A36&amp;"', '"&amp;$D36&amp;"', "&amp;$S36&amp;");"</f>
        <v/>
      </c>
    </row>
    <row r="22">
      <c r="A22">
        <f>"INSERT INTO fin.fee_invoice (client_code, period_month, fee_gbp) VALUES ('"&amp;$A37&amp;"', '"&amp;$D37&amp;"', "&amp;$S37&amp;");"</f>
        <v/>
      </c>
    </row>
    <row r="23">
      <c r="A23">
        <f>"INSERT INTO fin.fee_invoice (client_code, period_month, fee_gbp) VALUES ('"&amp;$A38&amp;"', '"&amp;$D38&amp;"', "&amp;$S38&amp;");"</f>
        <v/>
      </c>
    </row>
    <row r="24">
      <c r="A24">
        <f>"INSERT INTO fin.fee_invoice (client_code, period_month, fee_gbp) VALUES ('"&amp;$A39&amp;"', '"&amp;$D39&amp;"', "&amp;$S39&amp;");"</f>
        <v/>
      </c>
    </row>
    <row r="25">
      <c r="A25">
        <f>"INSERT INTO fin.fee_invoice (client_code, period_month, fee_gbp) VALUES ('"&amp;$A40&amp;"', '"&amp;$D40&amp;"', "&amp;$S40&amp;");"</f>
        <v/>
      </c>
    </row>
    <row r="26">
      <c r="A26">
        <f>"INSERT INTO fin.fee_invoice (client_code, period_month, fee_gbp) VALUES ('"&amp;$A41&amp;"', '"&amp;$D41&amp;"', "&amp;$S41&amp;");"</f>
        <v/>
      </c>
    </row>
    <row r="27">
      <c r="A27">
        <f>"INSERT INTO fin.fee_invoice (client_code, period_month, fee_gbp) VALUES ('"&amp;$A42&amp;"', '"&amp;$D42&amp;"', "&amp;$S42&amp;");"</f>
        <v/>
      </c>
    </row>
    <row r="28">
      <c r="A28">
        <f>"INSERT INTO fin.fee_invoice (client_code, period_month, fee_gbp) VALUES ('"&amp;$A43&amp;"', '"&amp;$D43&amp;"', "&amp;$S43&amp;");"</f>
        <v/>
      </c>
    </row>
    <row r="29">
      <c r="A29">
        <f>"INSERT INTO fin.fee_invoice (client_code, period_month, fee_gbp) VALUES ('"&amp;$A44&amp;"', '"&amp;$D44&amp;"', "&amp;$S44&amp;");"</f>
        <v/>
      </c>
    </row>
    <row r="30">
      <c r="A30">
        <f>"INSERT INTO fin.fee_invoice (client_code, period_month, fee_gbp) VALUES ('"&amp;$A45&amp;"', '"&amp;$D45&amp;"', "&amp;$S45&amp;");"</f>
        <v/>
      </c>
    </row>
    <row r="31">
      <c r="A31">
        <f>"INSERT INTO fin.fee_invoice (client_code, period_month, fee_gbp) VALUES ('"&amp;$A46&amp;"', '"&amp;$D46&amp;"', "&amp;$S46&amp;");"</f>
        <v/>
      </c>
    </row>
    <row r="32">
      <c r="A32">
        <f>"INSERT INTO fin.fee_invoice (client_code, period_month, fee_gbp) VALUES ('"&amp;$A47&amp;"', '"&amp;$D47&amp;"', "&amp;$S47&amp;");"</f>
        <v/>
      </c>
    </row>
    <row r="33">
      <c r="A33">
        <f>"INSERT INTO fin.fee_invoice (client_code, period_month, fee_gbp) VALUES ('"&amp;$A48&amp;"', '"&amp;$D48&amp;"', "&amp;$S48&amp;");"</f>
        <v/>
      </c>
    </row>
    <row r="34">
      <c r="A34">
        <f>"INSERT INTO fin.fee_invoice (client_code, period_month, fee_gbp) VALUES ('"&amp;$A49&amp;"', '"&amp;$D49&amp;"', "&amp;$S49&amp;");"</f>
        <v/>
      </c>
    </row>
    <row r="35">
      <c r="A35">
        <f>"INSERT INTO fin.fee_invoice (client_code, period_month, fee_gbp) VALUES ('"&amp;$A50&amp;"', '"&amp;$D50&amp;"', "&amp;$S50&amp;");"</f>
        <v/>
      </c>
    </row>
    <row r="36">
      <c r="A36">
        <f>"INSERT INTO fin.fee_invoice (client_code, period_month, fee_gbp) VALUES ('"&amp;$A51&amp;"', '"&amp;$D51&amp;"', "&amp;$S51&amp;");"</f>
        <v/>
      </c>
    </row>
    <row r="37">
      <c r="A37">
        <f>"INSERT INTO fin.fee_invoice (client_code, period_month, fee_gbp) VALUES ('"&amp;$A52&amp;"', '"&amp;$D52&amp;"', "&amp;$S52&amp;");"</f>
        <v/>
      </c>
    </row>
    <row r="38">
      <c r="A38">
        <f>"INSERT INTO fin.fee_invoice (client_code, period_month, fee_gbp) VALUES ('"&amp;$A53&amp;"', '"&amp;$D53&amp;"', "&amp;$S53&amp;");"</f>
        <v/>
      </c>
    </row>
    <row r="39">
      <c r="A39">
        <f>"INSERT INTO fin.fee_invoice (client_code, period_month, fee_gbp) VALUES ('"&amp;$A54&amp;"', '"&amp;$D54&amp;"', "&amp;$S54&amp;");"</f>
        <v/>
      </c>
    </row>
    <row r="40">
      <c r="A40">
        <f>"INSERT INTO fin.fee_invoice (client_code, period_month, fee_gbp) VALUES ('"&amp;$A55&amp;"', '"&amp;$D55&amp;"', "&amp;$S55&amp;");"</f>
        <v/>
      </c>
    </row>
    <row r="41">
      <c r="A41">
        <f>"INSERT INTO fin.fee_invoice (client_code, period_month, fee_gbp) VALUES ('"&amp;$A56&amp;"', '"&amp;$D56&amp;"', "&amp;$S56&amp;");"</f>
        <v/>
      </c>
    </row>
    <row r="42">
      <c r="A42">
        <f>"INSERT INTO fin.fee_invoice (client_code, period_month, fee_gbp) VALUES ('"&amp;$A57&amp;"', '"&amp;$D57&amp;"', "&amp;$S57&amp;");"</f>
        <v/>
      </c>
    </row>
    <row r="43">
      <c r="A43">
        <f>"INSERT INTO fin.fee_invoice (client_code, period_month, fee_gbp) VALUES ('"&amp;$A58&amp;"', '"&amp;$D58&amp;"', "&amp;$S58&amp;");"</f>
        <v/>
      </c>
    </row>
    <row r="44">
      <c r="A44">
        <f>"INSERT INTO fin.fee_invoice (client_code, period_month, fee_gbp) VALUES ('"&amp;$A59&amp;"', '"&amp;$D59&amp;"', "&amp;$S59&amp;");"</f>
        <v/>
      </c>
    </row>
    <row r="45">
      <c r="A45">
        <f>"INSERT INTO fin.fee_invoice (client_code, period_month, fee_gbp) VALUES ('"&amp;$A60&amp;"', '"&amp;$D60&amp;"', "&amp;$S60&amp;");"</f>
        <v/>
      </c>
    </row>
    <row r="46">
      <c r="A46">
        <f>"INSERT INTO fin.fee_invoice (client_code, period_month, fee_gbp) VALUES ('"&amp;$A61&amp;"', '"&amp;$D61&amp;"', "&amp;$S61&amp;");"</f>
        <v/>
      </c>
    </row>
    <row r="47">
      <c r="A47">
        <f>"INSERT INTO fin.fee_invoice (client_code, period_month, fee_gbp) VALUES ('"&amp;$A62&amp;"', '"&amp;$D62&amp;"', "&amp;$S62&amp;");"</f>
        <v/>
      </c>
    </row>
    <row r="48">
      <c r="A48">
        <f>"INSERT INTO fin.fee_invoice (client_code, period_month, fee_gbp) VALUES ('"&amp;$A63&amp;"', '"&amp;$D63&amp;"', "&amp;$S63&amp;");"</f>
        <v/>
      </c>
    </row>
    <row r="49">
      <c r="A49">
        <f>"INSERT INTO fin.fee_invoice (client_code, period_month, fee_gbp) VALUES ('"&amp;$A64&amp;"', '"&amp;$D64&amp;"', "&amp;$S64&amp;");"</f>
        <v/>
      </c>
    </row>
    <row r="50">
      <c r="A50">
        <f>"INSERT INTO fin.fee_invoice (client_code, period_month, fee_gbp) VALUES ('"&amp;$A65&amp;"', '"&amp;$D65&amp;"', "&amp;$S65&amp;");"</f>
        <v/>
      </c>
    </row>
    <row r="51">
      <c r="A51">
        <f>"INSERT INTO fin.fee_invoice (client_code, period_month, fee_gbp) VALUES ('"&amp;$A66&amp;"', '"&amp;$D66&amp;"', "&amp;$S66&amp;");"</f>
        <v/>
      </c>
    </row>
    <row r="52">
      <c r="A52">
        <f>"INSERT INTO fin.fee_invoice (client_code, period_month, fee_gbp) VALUES ('"&amp;$A67&amp;"', '"&amp;$D67&amp;"', "&amp;$S67&amp;");"</f>
        <v/>
      </c>
    </row>
    <row r="53">
      <c r="A53">
        <f>"INSERT INTO fin.fee_invoice (client_code, period_month, fee_gbp) VALUES ('"&amp;$A68&amp;"', '"&amp;$D68&amp;"', "&amp;$S68&amp;");"</f>
        <v/>
      </c>
    </row>
    <row r="54">
      <c r="A54">
        <f>"INSERT INTO fin.fee_invoice (client_code, period_month, fee_gbp) VALUES ('"&amp;$A69&amp;"', '"&amp;$D69&amp;"', "&amp;$S69&amp;");"</f>
        <v/>
      </c>
    </row>
    <row r="55">
      <c r="A55">
        <f>"INSERT INTO fin.fee_invoice (client_code, period_month, fee_gbp) VALUES ('"&amp;$A70&amp;"', '"&amp;$D70&amp;"', "&amp;$S70&amp;");"</f>
        <v/>
      </c>
    </row>
    <row r="56">
      <c r="A56">
        <f>"INSERT INTO fin.fee_invoice (client_code, period_month, fee_gbp) VALUES ('"&amp;$A71&amp;"', '"&amp;$D71&amp;"', "&amp;$S71&amp;");"</f>
        <v/>
      </c>
    </row>
    <row r="57">
      <c r="A57">
        <f>"INSERT INTO fin.fee_invoice (client_code, period_month, fee_gbp) VALUES ('"&amp;$A72&amp;"', '"&amp;$D72&amp;"', "&amp;$S72&amp;");"</f>
        <v/>
      </c>
    </row>
    <row r="58">
      <c r="A58">
        <f>"INSERT INTO fin.fee_invoice (client_code, period_month, fee_gbp) VALUES ('"&amp;$A73&amp;"', '"&amp;$D73&amp;"', "&amp;$S73&amp;");"</f>
        <v/>
      </c>
    </row>
    <row r="59">
      <c r="A59">
        <f>"INSERT INTO fin.fee_invoice (client_code, period_month, fee_gbp) VALUES ('"&amp;$A74&amp;"', '"&amp;$D74&amp;"', "&amp;$S74&amp;");"</f>
        <v/>
      </c>
    </row>
    <row r="60">
      <c r="A60">
        <f>"INSERT INTO fin.fee_invoice (client_code, period_month, fee_gbp) VALUES ('"&amp;$A75&amp;"', '"&amp;$D75&amp;"', "&amp;$S75&amp;");"</f>
        <v/>
      </c>
    </row>
    <row r="61">
      <c r="A61">
        <f>"INSERT INTO fin.fee_invoice (client_code, period_month, fee_gbp) VALUES ('"&amp;$A76&amp;"', '"&amp;$D76&amp;"', "&amp;$S76&amp;");"</f>
        <v/>
      </c>
    </row>
    <row r="62">
      <c r="A62">
        <f>"INSERT INTO fin.fee_invoice (client_code, period_month, fee_gbp) VALUES ('"&amp;$A77&amp;"', '"&amp;$D77&amp;"', "&amp;$S77&amp;");"</f>
        <v/>
      </c>
    </row>
    <row r="63">
      <c r="A63">
        <f>"INSERT INTO fin.fee_invoice (client_code, period_month, fee_gbp) VALUES ('"&amp;$A78&amp;"', '"&amp;$D78&amp;"', "&amp;$S78&amp;");"</f>
        <v/>
      </c>
    </row>
    <row r="64">
      <c r="A64">
        <f>"INSERT INTO fin.fee_invoice (client_code, period_month, fee_gbp) VALUES ('"&amp;$A79&amp;"', '"&amp;$D79&amp;"', "&amp;$S79&amp;");"</f>
        <v/>
      </c>
    </row>
    <row r="65">
      <c r="A65">
        <f>"INSERT INTO fin.fee_invoice (client_code, period_month, fee_gbp) VALUES ('"&amp;$A80&amp;"', '"&amp;$D80&amp;"', "&amp;$S80&amp;");"</f>
        <v/>
      </c>
    </row>
    <row r="66">
      <c r="A66">
        <f>"INSERT INTO fin.fee_invoice (client_code, period_month, fee_gbp) VALUES ('"&amp;$A81&amp;"', '"&amp;$D81&amp;"', "&amp;$S81&amp;");"</f>
        <v/>
      </c>
    </row>
    <row r="67">
      <c r="A67">
        <f>"INSERT INTO fin.fee_invoice (client_code, period_month, fee_gbp) VALUES ('"&amp;$A82&amp;"', '"&amp;$D82&amp;"', "&amp;$S82&amp;");"</f>
        <v/>
      </c>
    </row>
    <row r="68">
      <c r="A68">
        <f>"INSERT INTO fin.fee_invoice (client_code, period_month, fee_gbp) VALUES ('"&amp;$A83&amp;"', '"&amp;$D83&amp;"', "&amp;$S83&amp;");"</f>
        <v/>
      </c>
    </row>
    <row r="69">
      <c r="A69">
        <f>"INSERT INTO fin.fee_invoice (client_code, period_month, fee_gbp) VALUES ('"&amp;$A84&amp;"', '"&amp;$D84&amp;"', "&amp;$S84&amp;");"</f>
        <v/>
      </c>
    </row>
    <row r="70">
      <c r="A70">
        <f>"INSERT INTO fin.fee_invoice (client_code, period_month, fee_gbp) VALUES ('"&amp;$A85&amp;"', '"&amp;$D85&amp;"', "&amp;$S85&amp;");"</f>
        <v/>
      </c>
    </row>
    <row r="71">
      <c r="A71">
        <f>"INSERT INTO fin.fee_invoice (client_code, period_month, fee_gbp) VALUES ('"&amp;$A86&amp;"', '"&amp;$D86&amp;"', "&amp;$S86&amp;");"</f>
        <v/>
      </c>
    </row>
    <row r="72">
      <c r="A72">
        <f>"INSERT INTO fin.fee_invoice (client_code, period_month, fee_gbp) VALUES ('"&amp;$A87&amp;"', '"&amp;$D87&amp;"', "&amp;$S87&amp;");"</f>
        <v/>
      </c>
    </row>
    <row r="73">
      <c r="A73">
        <f>"INSERT INTO fin.fee_invoice (client_code, period_month, fee_gbp) VALUES ('"&amp;$A88&amp;"', '"&amp;$D88&amp;"', "&amp;$S88&amp;");"</f>
        <v/>
      </c>
    </row>
    <row r="74">
      <c r="A74">
        <f>"INSERT INTO fin.fee_invoice (client_code, period_month, fee_gbp) VALUES ('"&amp;$A89&amp;"', '"&amp;$D89&amp;"', "&amp;$S89&amp;");"</f>
        <v/>
      </c>
    </row>
    <row r="75">
      <c r="A75">
        <f>"INSERT INTO fin.fee_invoice (client_code, period_month, fee_gbp) VALUES ('"&amp;$A90&amp;"', '"&amp;$D90&amp;"', "&amp;$S90&amp;");"</f>
        <v/>
      </c>
    </row>
    <row r="76">
      <c r="A76">
        <f>"INSERT INTO fin.fee_invoice (client_code, period_month, fee_gbp) VALUES ('"&amp;$A91&amp;"', '"&amp;$D91&amp;"', "&amp;$S91&amp;");"</f>
        <v/>
      </c>
    </row>
    <row r="77">
      <c r="A77">
        <f>"INSERT INTO fin.fee_invoice (client_code, period_month, fee_gbp) VALUES ('"&amp;$A92&amp;"', '"&amp;$D92&amp;"', "&amp;$S92&amp;");"</f>
        <v/>
      </c>
    </row>
    <row r="78">
      <c r="A78">
        <f>"INSERT INTO fin.fee_invoice (client_code, period_month, fee_gbp) VALUES ('"&amp;$A93&amp;"', '"&amp;$D93&amp;"', "&amp;$S93&amp;");"</f>
        <v/>
      </c>
    </row>
    <row r="79">
      <c r="A79">
        <f>"INSERT INTO fin.fee_invoice (client_code, period_month, fee_gbp) VALUES ('"&amp;$A94&amp;"', '"&amp;$D94&amp;"', "&amp;$S94&amp;");"</f>
        <v/>
      </c>
    </row>
    <row r="80">
      <c r="A80">
        <f>"INSERT INTO fin.fee_invoice (client_code, period_month, fee_gbp) VALUES ('"&amp;$A95&amp;"', '"&amp;$D95&amp;"', "&amp;$S95&amp;");"</f>
        <v/>
      </c>
    </row>
    <row r="81">
      <c r="A81">
        <f>"INSERT INTO fin.fee_invoice (client_code, period_month, fee_gbp) VALUES ('"&amp;$A96&amp;"', '"&amp;$D96&amp;"', "&amp;$S96&amp;");"</f>
        <v/>
      </c>
    </row>
    <row r="82">
      <c r="A82">
        <f>"INSERT INTO fin.fee_invoice (client_code, period_month, fee_gbp) VALUES ('"&amp;$A97&amp;"', '"&amp;$D97&amp;"', "&amp;$S97&amp;");"</f>
        <v/>
      </c>
    </row>
    <row r="83">
      <c r="A83">
        <f>"INSERT INTO fin.fee_invoice (client_code, period_month, fee_gbp) VALUES ('"&amp;$A98&amp;"', '"&amp;$D98&amp;"', "&amp;$S98&amp;");"</f>
        <v/>
      </c>
    </row>
    <row r="84">
      <c r="A84">
        <f>"INSERT INTO fin.fee_invoice (client_code, period_month, fee_gbp) VALUES ('"&amp;$A99&amp;"', '"&amp;$D99&amp;"', "&amp;$S99&amp;");"</f>
        <v/>
      </c>
    </row>
    <row r="85">
      <c r="A85">
        <f>"INSERT INTO fin.fee_invoice (client_code, period_month, fee_gbp) VALUES ('"&amp;$A100&amp;"', '"&amp;$D100&amp;"', "&amp;$S100&amp;");"</f>
        <v/>
      </c>
    </row>
    <row r="86">
      <c r="A86">
        <f>"INSERT INTO fin.fee_invoice (client_code, period_month, fee_gbp) VALUES ('"&amp;$A101&amp;"', '"&amp;$D101&amp;"', "&amp;$S101&amp;");"</f>
        <v/>
      </c>
    </row>
    <row r="87">
      <c r="A87">
        <f>"INSERT INTO fin.fee_invoice (client_code, period_month, fee_gbp) VALUES ('"&amp;$A102&amp;"', '"&amp;$D102&amp;"', "&amp;$S102&amp;");"</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sheetData>
    <row r="1">
      <c r="A1" s="1" t="inlineStr">
        <is>
          <t>client_code</t>
        </is>
      </c>
      <c r="B1" s="1" t="inlineStr">
        <is>
          <t>client_name</t>
        </is>
      </c>
      <c r="C1" s="1" t="inlineStr">
        <is>
          <t>legal_entity</t>
        </is>
      </c>
      <c r="D1" s="1" t="inlineStr">
        <is>
          <t>cost_centre</t>
        </is>
      </c>
      <c r="E1" s="1" t="inlineStr">
        <is>
          <t>mandate</t>
        </is>
      </c>
    </row>
    <row r="2">
      <c r="A2" t="inlineStr">
        <is>
          <t>00001</t>
        </is>
      </c>
      <c r="B2" t="inlineStr">
        <is>
          <t>Client 001 Holdings</t>
        </is>
      </c>
      <c r="C2" t="inlineStr">
        <is>
          <t>LuxCo</t>
        </is>
      </c>
      <c r="D2" t="inlineStr">
        <is>
          <t>CC-100</t>
        </is>
      </c>
      <c r="E2" t="inlineStr">
        <is>
          <t xml:space="preserve">  balanced </t>
        </is>
      </c>
    </row>
    <row r="3">
      <c r="A3" t="inlineStr">
        <is>
          <t>00002</t>
        </is>
      </c>
      <c r="B3" t="inlineStr">
        <is>
          <t>Client 002 Holdings</t>
        </is>
      </c>
      <c r="C3" t="inlineStr">
        <is>
          <t>UKCo</t>
        </is>
      </c>
      <c r="D3" t="inlineStr">
        <is>
          <t>CC-110</t>
        </is>
      </c>
      <c r="E3" t="inlineStr">
        <is>
          <t>equity</t>
        </is>
      </c>
    </row>
    <row r="4">
      <c r="A4" t="inlineStr">
        <is>
          <t>00003</t>
        </is>
      </c>
      <c r="B4" t="inlineStr">
        <is>
          <t>Client 003 Holdings</t>
        </is>
      </c>
      <c r="C4" t="inlineStr">
        <is>
          <t>DubCo</t>
        </is>
      </c>
      <c r="D4" t="inlineStr">
        <is>
          <t>CC-120</t>
        </is>
      </c>
      <c r="E4" t="inlineStr">
        <is>
          <t xml:space="preserve"> fixed income</t>
        </is>
      </c>
    </row>
    <row r="5">
      <c r="A5" t="inlineStr">
        <is>
          <t>00004</t>
        </is>
      </c>
      <c r="B5" t="inlineStr">
        <is>
          <t>Client 004 Holdings</t>
        </is>
      </c>
      <c r="C5" t="inlineStr">
        <is>
          <t>LuxCo</t>
        </is>
      </c>
      <c r="D5" t="inlineStr">
        <is>
          <t>CC-130</t>
        </is>
      </c>
      <c r="E5" t="inlineStr">
        <is>
          <t xml:space="preserve">  balanced </t>
        </is>
      </c>
    </row>
    <row r="6">
      <c r="A6" t="inlineStr">
        <is>
          <t>00005</t>
        </is>
      </c>
      <c r="B6" t="inlineStr">
        <is>
          <t>Client 005 Holdings</t>
        </is>
      </c>
      <c r="C6" t="inlineStr">
        <is>
          <t>UKCo</t>
        </is>
      </c>
      <c r="D6" t="inlineStr">
        <is>
          <t>CC-140</t>
        </is>
      </c>
      <c r="E6" t="inlineStr">
        <is>
          <t>equity</t>
        </is>
      </c>
    </row>
    <row r="7">
      <c r="A7" t="inlineStr">
        <is>
          <t>00006</t>
        </is>
      </c>
      <c r="B7" t="inlineStr">
        <is>
          <t>Client 006 Holdings</t>
        </is>
      </c>
      <c r="C7" t="inlineStr">
        <is>
          <t>DubCo</t>
        </is>
      </c>
      <c r="D7" t="inlineStr">
        <is>
          <t>CC-150</t>
        </is>
      </c>
      <c r="E7" t="inlineStr">
        <is>
          <t xml:space="preserve"> fixed income</t>
        </is>
      </c>
    </row>
    <row r="8">
      <c r="A8" t="inlineStr">
        <is>
          <t>00007</t>
        </is>
      </c>
      <c r="B8" t="inlineStr">
        <is>
          <t>Client 007 Holdings</t>
        </is>
      </c>
      <c r="C8" t="inlineStr">
        <is>
          <t>LuxCo</t>
        </is>
      </c>
      <c r="D8" t="inlineStr">
        <is>
          <t>CC-100</t>
        </is>
      </c>
      <c r="E8" t="inlineStr">
        <is>
          <t xml:space="preserve">  balanced </t>
        </is>
      </c>
    </row>
    <row r="9">
      <c r="A9" t="inlineStr">
        <is>
          <t>00008</t>
        </is>
      </c>
      <c r="B9" t="inlineStr">
        <is>
          <t>Client 008 Holdings</t>
        </is>
      </c>
      <c r="C9" t="inlineStr">
        <is>
          <t>UKCo</t>
        </is>
      </c>
      <c r="D9" t="inlineStr">
        <is>
          <t>CC-110</t>
        </is>
      </c>
      <c r="E9" t="inlineStr">
        <is>
          <t>equity</t>
        </is>
      </c>
    </row>
    <row r="10">
      <c r="A10" t="inlineStr">
        <is>
          <t>00009</t>
        </is>
      </c>
      <c r="B10" t="inlineStr">
        <is>
          <t>Client 009 Holdings</t>
        </is>
      </c>
      <c r="C10" t="inlineStr">
        <is>
          <t>DubCo</t>
        </is>
      </c>
      <c r="D10" t="inlineStr">
        <is>
          <t>CC-120</t>
        </is>
      </c>
      <c r="E10" t="inlineStr">
        <is>
          <t xml:space="preserve"> fixed income</t>
        </is>
      </c>
    </row>
    <row r="11">
      <c r="A11" t="inlineStr">
        <is>
          <t>00010</t>
        </is>
      </c>
      <c r="B11" t="inlineStr">
        <is>
          <t>Client 010 Holdings</t>
        </is>
      </c>
      <c r="C11" t="inlineStr">
        <is>
          <t>LuxCo</t>
        </is>
      </c>
      <c r="D11" t="inlineStr">
        <is>
          <t>CC-130</t>
        </is>
      </c>
      <c r="E11" t="inlineStr">
        <is>
          <t xml:space="preserve">  balanced </t>
        </is>
      </c>
    </row>
    <row r="12">
      <c r="A12" t="inlineStr">
        <is>
          <t>00011</t>
        </is>
      </c>
      <c r="B12" t="inlineStr">
        <is>
          <t>Client 011 Holdings</t>
        </is>
      </c>
      <c r="C12" t="inlineStr">
        <is>
          <t>UKCo</t>
        </is>
      </c>
      <c r="D12" t="inlineStr">
        <is>
          <t>CC-140</t>
        </is>
      </c>
      <c r="E12" t="inlineStr">
        <is>
          <t>equity</t>
        </is>
      </c>
    </row>
    <row r="13">
      <c r="A13" t="inlineStr">
        <is>
          <t>00012</t>
        </is>
      </c>
      <c r="B13" t="inlineStr">
        <is>
          <t>Client 012 Holdings</t>
        </is>
      </c>
      <c r="C13" t="inlineStr">
        <is>
          <t>DubCo</t>
        </is>
      </c>
      <c r="D13" t="inlineStr">
        <is>
          <t>CC-150</t>
        </is>
      </c>
      <c r="E13" t="inlineStr">
        <is>
          <t xml:space="preserve"> fixed income</t>
        </is>
      </c>
    </row>
    <row r="14">
      <c r="A14" t="inlineStr">
        <is>
          <t>00013</t>
        </is>
      </c>
      <c r="B14" t="inlineStr">
        <is>
          <t>Client 013 Holdings</t>
        </is>
      </c>
      <c r="C14" t="inlineStr">
        <is>
          <t>LuxCo</t>
        </is>
      </c>
      <c r="D14" t="inlineStr">
        <is>
          <t>CC-100</t>
        </is>
      </c>
      <c r="E14" t="inlineStr">
        <is>
          <t xml:space="preserve">  balanced </t>
        </is>
      </c>
    </row>
    <row r="15">
      <c r="A15" t="inlineStr">
        <is>
          <t>00014</t>
        </is>
      </c>
      <c r="B15" t="inlineStr">
        <is>
          <t>Client 014 Holdings</t>
        </is>
      </c>
      <c r="C15" t="inlineStr">
        <is>
          <t>UKCo</t>
        </is>
      </c>
      <c r="D15" t="inlineStr">
        <is>
          <t>CC-110</t>
        </is>
      </c>
      <c r="E15" t="inlineStr">
        <is>
          <t>equity</t>
        </is>
      </c>
    </row>
    <row r="16">
      <c r="A16" t="inlineStr">
        <is>
          <t>00015</t>
        </is>
      </c>
      <c r="B16" t="inlineStr">
        <is>
          <t>Client 015 Holdings</t>
        </is>
      </c>
      <c r="C16" t="inlineStr">
        <is>
          <t>DubCo</t>
        </is>
      </c>
      <c r="D16" t="inlineStr">
        <is>
          <t>CC-120</t>
        </is>
      </c>
      <c r="E16" t="inlineStr">
        <is>
          <t xml:space="preserve"> fixed income</t>
        </is>
      </c>
    </row>
    <row r="17">
      <c r="A17" t="inlineStr">
        <is>
          <t>00016</t>
        </is>
      </c>
      <c r="B17" t="inlineStr">
        <is>
          <t>Client 016 Holdings</t>
        </is>
      </c>
      <c r="C17" t="inlineStr">
        <is>
          <t>LuxCo</t>
        </is>
      </c>
      <c r="D17" t="inlineStr">
        <is>
          <t>CC-130</t>
        </is>
      </c>
      <c r="E17" t="inlineStr">
        <is>
          <t xml:space="preserve">  balanced </t>
        </is>
      </c>
    </row>
    <row r="18">
      <c r="A18" t="inlineStr">
        <is>
          <t>00017</t>
        </is>
      </c>
      <c r="B18" t="inlineStr">
        <is>
          <t>Client 017 Holdings</t>
        </is>
      </c>
      <c r="C18" t="inlineStr">
        <is>
          <t>UKCo</t>
        </is>
      </c>
      <c r="D18" t="inlineStr">
        <is>
          <t>CC-140</t>
        </is>
      </c>
      <c r="E18" t="inlineStr">
        <is>
          <t>equity</t>
        </is>
      </c>
    </row>
    <row r="19">
      <c r="A19" t="inlineStr">
        <is>
          <t>00018</t>
        </is>
      </c>
      <c r="B19" t="inlineStr">
        <is>
          <t>Client 018 Holdings</t>
        </is>
      </c>
      <c r="C19" t="inlineStr">
        <is>
          <t>DubCo</t>
        </is>
      </c>
      <c r="D19" t="inlineStr">
        <is>
          <t>CC-150</t>
        </is>
      </c>
      <c r="E19" t="inlineStr">
        <is>
          <t xml:space="preserve"> fixed income</t>
        </is>
      </c>
    </row>
    <row r="20">
      <c r="A20" t="inlineStr">
        <is>
          <t>00019</t>
        </is>
      </c>
      <c r="B20" t="inlineStr">
        <is>
          <t>Client 019 Holdings</t>
        </is>
      </c>
      <c r="C20" t="inlineStr">
        <is>
          <t>LuxCo</t>
        </is>
      </c>
      <c r="D20" t="inlineStr">
        <is>
          <t>CC-100</t>
        </is>
      </c>
      <c r="E20" t="inlineStr">
        <is>
          <t xml:space="preserve">  balanced </t>
        </is>
      </c>
    </row>
    <row r="21">
      <c r="A21" t="inlineStr">
        <is>
          <t>00020</t>
        </is>
      </c>
      <c r="B21" t="inlineStr">
        <is>
          <t>Client 020 Holdings</t>
        </is>
      </c>
      <c r="C21" t="inlineStr">
        <is>
          <t>UKCo</t>
        </is>
      </c>
      <c r="D21" t="inlineStr">
        <is>
          <t>CC-110</t>
        </is>
      </c>
      <c r="E21" t="inlineStr">
        <is>
          <t>equity</t>
        </is>
      </c>
    </row>
    <row r="22">
      <c r="A22" t="inlineStr">
        <is>
          <t>00021</t>
        </is>
      </c>
      <c r="B22" t="inlineStr">
        <is>
          <t>Client 021 Holdings</t>
        </is>
      </c>
      <c r="C22" t="inlineStr">
        <is>
          <t>DubCo</t>
        </is>
      </c>
      <c r="D22" t="inlineStr">
        <is>
          <t>CC-120</t>
        </is>
      </c>
      <c r="E22" t="inlineStr">
        <is>
          <t xml:space="preserve"> fixed income</t>
        </is>
      </c>
    </row>
    <row r="23">
      <c r="A23" t="inlineStr">
        <is>
          <t>00022</t>
        </is>
      </c>
      <c r="B23" t="inlineStr">
        <is>
          <t>Client 022 Holdings</t>
        </is>
      </c>
      <c r="C23" t="inlineStr">
        <is>
          <t>LuxCo</t>
        </is>
      </c>
      <c r="D23" t="inlineStr">
        <is>
          <t>CC-130</t>
        </is>
      </c>
      <c r="E23" t="inlineStr">
        <is>
          <t xml:space="preserve">  balanced </t>
        </is>
      </c>
    </row>
    <row r="24">
      <c r="A24" t="inlineStr">
        <is>
          <t>00023</t>
        </is>
      </c>
      <c r="B24" t="inlineStr">
        <is>
          <t>Client 023 Holdings</t>
        </is>
      </c>
      <c r="C24" t="inlineStr">
        <is>
          <t>UKCo</t>
        </is>
      </c>
      <c r="D24" t="inlineStr">
        <is>
          <t>CC-140</t>
        </is>
      </c>
      <c r="E24" t="inlineStr">
        <is>
          <t>equity</t>
        </is>
      </c>
    </row>
    <row r="25">
      <c r="A25" t="inlineStr">
        <is>
          <t>00024</t>
        </is>
      </c>
      <c r="B25" t="inlineStr">
        <is>
          <t>Client 024 Holdings</t>
        </is>
      </c>
      <c r="C25" t="inlineStr">
        <is>
          <t>DubCo</t>
        </is>
      </c>
      <c r="D25" t="inlineStr">
        <is>
          <t>CC-150</t>
        </is>
      </c>
      <c r="E25" t="inlineStr">
        <is>
          <t xml:space="preserve"> fixed income</t>
        </is>
      </c>
    </row>
    <row r="26">
      <c r="A26" t="inlineStr">
        <is>
          <t>00025</t>
        </is>
      </c>
      <c r="B26" t="inlineStr">
        <is>
          <t>Client 025 Holdings</t>
        </is>
      </c>
      <c r="C26" t="inlineStr">
        <is>
          <t>LuxCo</t>
        </is>
      </c>
      <c r="D26" t="inlineStr">
        <is>
          <t>CC-100</t>
        </is>
      </c>
      <c r="E26" t="inlineStr">
        <is>
          <t xml:space="preserve">  balanced </t>
        </is>
      </c>
    </row>
    <row r="27">
      <c r="A27" t="inlineStr">
        <is>
          <t>00026</t>
        </is>
      </c>
      <c r="B27" t="inlineStr">
        <is>
          <t>Client 026 Holdings</t>
        </is>
      </c>
      <c r="C27" t="inlineStr">
        <is>
          <t>UKCo</t>
        </is>
      </c>
      <c r="D27" t="inlineStr">
        <is>
          <t>CC-110</t>
        </is>
      </c>
      <c r="E27" t="inlineStr">
        <is>
          <t>equity</t>
        </is>
      </c>
    </row>
    <row r="28">
      <c r="A28" t="inlineStr">
        <is>
          <t>00027</t>
        </is>
      </c>
      <c r="B28" t="inlineStr">
        <is>
          <t>Client 027 Holdings</t>
        </is>
      </c>
      <c r="C28" t="inlineStr">
        <is>
          <t>DubCo</t>
        </is>
      </c>
      <c r="D28" t="inlineStr">
        <is>
          <t>CC-120</t>
        </is>
      </c>
      <c r="E28" t="inlineStr">
        <is>
          <t xml:space="preserve"> fixed income</t>
        </is>
      </c>
    </row>
    <row r="29">
      <c r="A29" t="inlineStr">
        <is>
          <t>00028</t>
        </is>
      </c>
      <c r="B29" t="inlineStr">
        <is>
          <t>Client 028 Holdings</t>
        </is>
      </c>
      <c r="C29" t="inlineStr">
        <is>
          <t>LuxCo</t>
        </is>
      </c>
      <c r="D29" t="inlineStr">
        <is>
          <t>CC-130</t>
        </is>
      </c>
      <c r="E29" t="inlineStr">
        <is>
          <t xml:space="preserve">  balanced </t>
        </is>
      </c>
    </row>
    <row r="30">
      <c r="A30" t="inlineStr">
        <is>
          <t>00029</t>
        </is>
      </c>
      <c r="B30" t="inlineStr">
        <is>
          <t>Client 029 Holdings</t>
        </is>
      </c>
      <c r="C30" t="inlineStr">
        <is>
          <t>UKCo</t>
        </is>
      </c>
      <c r="D30" t="inlineStr">
        <is>
          <t>CC-140</t>
        </is>
      </c>
      <c r="E30" t="inlineStr">
        <is>
          <t>equity</t>
        </is>
      </c>
    </row>
    <row r="31">
      <c r="A31" t="inlineStr">
        <is>
          <t>00030</t>
        </is>
      </c>
      <c r="B31" t="inlineStr">
        <is>
          <t>Client 030 Holdings</t>
        </is>
      </c>
      <c r="C31" t="inlineStr">
        <is>
          <t>DubCo</t>
        </is>
      </c>
      <c r="D31" t="inlineStr">
        <is>
          <t>CC-150</t>
        </is>
      </c>
      <c r="E31" t="inlineStr">
        <is>
          <t xml:space="preserve"> fixed income</t>
        </is>
      </c>
    </row>
    <row r="32">
      <c r="A32" t="inlineStr">
        <is>
          <t>00031</t>
        </is>
      </c>
      <c r="B32" t="inlineStr">
        <is>
          <t>Client 031 Holdings</t>
        </is>
      </c>
      <c r="C32" t="inlineStr">
        <is>
          <t>LuxCo</t>
        </is>
      </c>
      <c r="D32" t="inlineStr">
        <is>
          <t>CC-100</t>
        </is>
      </c>
      <c r="E32" t="inlineStr">
        <is>
          <t xml:space="preserve">  balanced </t>
        </is>
      </c>
    </row>
    <row r="33">
      <c r="A33" t="inlineStr">
        <is>
          <t>00032</t>
        </is>
      </c>
      <c r="B33" t="inlineStr">
        <is>
          <t>Client 032 Holdings</t>
        </is>
      </c>
      <c r="C33" t="inlineStr">
        <is>
          <t>UKCo</t>
        </is>
      </c>
      <c r="D33" t="inlineStr">
        <is>
          <t>CC-110</t>
        </is>
      </c>
      <c r="E33" t="inlineStr">
        <is>
          <t>equity</t>
        </is>
      </c>
    </row>
    <row r="34">
      <c r="A34" t="inlineStr">
        <is>
          <t>00033</t>
        </is>
      </c>
      <c r="B34" t="inlineStr">
        <is>
          <t>Client 033 Holdings</t>
        </is>
      </c>
      <c r="C34" t="inlineStr">
        <is>
          <t>DubCo</t>
        </is>
      </c>
      <c r="D34" t="inlineStr">
        <is>
          <t>CC-120</t>
        </is>
      </c>
      <c r="E34" t="inlineStr">
        <is>
          <t xml:space="preserve"> fixed income</t>
        </is>
      </c>
    </row>
    <row r="35">
      <c r="A35" t="inlineStr">
        <is>
          <t>00034</t>
        </is>
      </c>
      <c r="B35" t="inlineStr">
        <is>
          <t>Client 034 Holdings</t>
        </is>
      </c>
      <c r="C35" t="inlineStr">
        <is>
          <t>LuxCo</t>
        </is>
      </c>
      <c r="D35" t="inlineStr">
        <is>
          <t>CC-130</t>
        </is>
      </c>
      <c r="E35" t="inlineStr">
        <is>
          <t xml:space="preserve">  balanced </t>
        </is>
      </c>
    </row>
    <row r="36">
      <c r="A36" t="inlineStr">
        <is>
          <t>00035</t>
        </is>
      </c>
      <c r="B36" t="inlineStr">
        <is>
          <t>Client 035 Holdings</t>
        </is>
      </c>
      <c r="C36" t="inlineStr">
        <is>
          <t>UKCo</t>
        </is>
      </c>
      <c r="D36" t="inlineStr">
        <is>
          <t>CC-140</t>
        </is>
      </c>
      <c r="E36" t="inlineStr">
        <is>
          <t>equity</t>
        </is>
      </c>
    </row>
    <row r="37">
      <c r="A37" t="inlineStr">
        <is>
          <t>00036</t>
        </is>
      </c>
      <c r="B37" t="inlineStr">
        <is>
          <t>Client 036 Holdings</t>
        </is>
      </c>
      <c r="C37" t="inlineStr">
        <is>
          <t>DubCo</t>
        </is>
      </c>
      <c r="D37" t="inlineStr">
        <is>
          <t>CC-150</t>
        </is>
      </c>
      <c r="E37" t="inlineStr">
        <is>
          <t xml:space="preserve"> fixed income</t>
        </is>
      </c>
    </row>
    <row r="38">
      <c r="A38" t="inlineStr">
        <is>
          <t>00037</t>
        </is>
      </c>
      <c r="B38" t="inlineStr">
        <is>
          <t>Client 037 Holdings</t>
        </is>
      </c>
      <c r="C38" t="inlineStr">
        <is>
          <t>LuxCo</t>
        </is>
      </c>
      <c r="D38" t="inlineStr">
        <is>
          <t>CC-100</t>
        </is>
      </c>
      <c r="E38" t="inlineStr">
        <is>
          <t xml:space="preserve">  balanced </t>
        </is>
      </c>
    </row>
    <row r="39">
      <c r="A39" t="inlineStr">
        <is>
          <t>00038</t>
        </is>
      </c>
      <c r="B39" t="inlineStr">
        <is>
          <t>Client 038 Holdings</t>
        </is>
      </c>
      <c r="C39" t="inlineStr">
        <is>
          <t>UKCo</t>
        </is>
      </c>
      <c r="D39" t="inlineStr">
        <is>
          <t>CC-110</t>
        </is>
      </c>
      <c r="E39" t="inlineStr">
        <is>
          <t>equity</t>
        </is>
      </c>
    </row>
    <row r="40">
      <c r="A40" t="inlineStr">
        <is>
          <t>00039</t>
        </is>
      </c>
      <c r="B40" t="inlineStr">
        <is>
          <t>Client 039 Holdings</t>
        </is>
      </c>
      <c r="C40" t="inlineStr">
        <is>
          <t>DubCo</t>
        </is>
      </c>
      <c r="D40" t="inlineStr">
        <is>
          <t>CC-120</t>
        </is>
      </c>
      <c r="E40" t="inlineStr">
        <is>
          <t xml:space="preserve"> fixed income</t>
        </is>
      </c>
    </row>
    <row r="41">
      <c r="A41" t="inlineStr">
        <is>
          <t>00040</t>
        </is>
      </c>
      <c r="B41" t="inlineStr">
        <is>
          <t>Client 040 Holdings</t>
        </is>
      </c>
      <c r="C41" t="inlineStr">
        <is>
          <t>LuxCo</t>
        </is>
      </c>
      <c r="D41" t="inlineStr">
        <is>
          <t>CC-130</t>
        </is>
      </c>
      <c r="E41" t="inlineStr">
        <is>
          <t xml:space="preserve">  balanced </t>
        </is>
      </c>
    </row>
    <row r="42">
      <c r="A42" t="inlineStr">
        <is>
          <t>00041</t>
        </is>
      </c>
      <c r="B42" t="inlineStr">
        <is>
          <t>Client 041 Holdings</t>
        </is>
      </c>
      <c r="C42" t="inlineStr">
        <is>
          <t>UKCo</t>
        </is>
      </c>
      <c r="D42" t="inlineStr">
        <is>
          <t>CC-140</t>
        </is>
      </c>
      <c r="E42" t="inlineStr">
        <is>
          <t>equity</t>
        </is>
      </c>
    </row>
    <row r="43">
      <c r="A43" t="inlineStr">
        <is>
          <t>00042</t>
        </is>
      </c>
      <c r="B43" t="inlineStr">
        <is>
          <t>Client 042 Holdings</t>
        </is>
      </c>
      <c r="C43" t="inlineStr">
        <is>
          <t>DubCo</t>
        </is>
      </c>
      <c r="D43" t="inlineStr">
        <is>
          <t>CC-150</t>
        </is>
      </c>
      <c r="E43" t="inlineStr">
        <is>
          <t xml:space="preserve"> fixed income</t>
        </is>
      </c>
    </row>
    <row r="44">
      <c r="A44" t="inlineStr">
        <is>
          <t>00043</t>
        </is>
      </c>
      <c r="B44" t="inlineStr">
        <is>
          <t>Client 043 Holdings</t>
        </is>
      </c>
      <c r="C44" t="inlineStr">
        <is>
          <t>LuxCo</t>
        </is>
      </c>
      <c r="D44" t="inlineStr">
        <is>
          <t>CC-100</t>
        </is>
      </c>
      <c r="E44" t="inlineStr">
        <is>
          <t xml:space="preserve">  balanced </t>
        </is>
      </c>
    </row>
    <row r="45">
      <c r="A45" t="inlineStr">
        <is>
          <t>00044</t>
        </is>
      </c>
      <c r="B45" t="inlineStr">
        <is>
          <t>Client 044 Holdings</t>
        </is>
      </c>
      <c r="C45" t="inlineStr">
        <is>
          <t>UKCo</t>
        </is>
      </c>
      <c r="D45" t="inlineStr">
        <is>
          <t>CC-110</t>
        </is>
      </c>
      <c r="E45" t="inlineStr">
        <is>
          <t>equity</t>
        </is>
      </c>
    </row>
    <row r="46">
      <c r="A46" t="inlineStr">
        <is>
          <t>00045</t>
        </is>
      </c>
      <c r="B46" t="inlineStr">
        <is>
          <t>Client 045 Holdings</t>
        </is>
      </c>
      <c r="C46" t="inlineStr">
        <is>
          <t>DubCo</t>
        </is>
      </c>
      <c r="D46" t="inlineStr">
        <is>
          <t>CC-120</t>
        </is>
      </c>
      <c r="E46" t="inlineStr">
        <is>
          <t xml:space="preserve"> fixed income</t>
        </is>
      </c>
    </row>
    <row r="47">
      <c r="A47" t="inlineStr">
        <is>
          <t>00046</t>
        </is>
      </c>
      <c r="B47" t="inlineStr">
        <is>
          <t>Client 046 Holdings</t>
        </is>
      </c>
      <c r="C47" t="inlineStr">
        <is>
          <t>LuxCo</t>
        </is>
      </c>
      <c r="D47" t="inlineStr">
        <is>
          <t>CC-130</t>
        </is>
      </c>
      <c r="E47" t="inlineStr">
        <is>
          <t xml:space="preserve">  balanced </t>
        </is>
      </c>
    </row>
    <row r="48">
      <c r="A48" t="inlineStr">
        <is>
          <t>00047</t>
        </is>
      </c>
      <c r="B48" t="inlineStr">
        <is>
          <t>Client 047 Holdings</t>
        </is>
      </c>
      <c r="C48" t="inlineStr">
        <is>
          <t>UKCo</t>
        </is>
      </c>
      <c r="D48" t="inlineStr">
        <is>
          <t>CC-140</t>
        </is>
      </c>
      <c r="E48" t="inlineStr">
        <is>
          <t>equity</t>
        </is>
      </c>
    </row>
    <row r="49">
      <c r="A49" t="inlineStr">
        <is>
          <t>00048</t>
        </is>
      </c>
      <c r="B49" t="inlineStr">
        <is>
          <t>Client 048 Holdings</t>
        </is>
      </c>
      <c r="C49" t="inlineStr">
        <is>
          <t>DubCo</t>
        </is>
      </c>
      <c r="D49" t="inlineStr">
        <is>
          <t>CC-150</t>
        </is>
      </c>
      <c r="E49" t="inlineStr">
        <is>
          <t xml:space="preserve"> fixed income</t>
        </is>
      </c>
    </row>
    <row r="50">
      <c r="A50" t="inlineStr">
        <is>
          <t>00049</t>
        </is>
      </c>
      <c r="B50" t="inlineStr">
        <is>
          <t>Client 049 Holdings</t>
        </is>
      </c>
      <c r="C50" t="inlineStr">
        <is>
          <t>LuxCo</t>
        </is>
      </c>
      <c r="D50" t="inlineStr">
        <is>
          <t>CC-100</t>
        </is>
      </c>
      <c r="E50" t="inlineStr">
        <is>
          <t xml:space="preserve">  balanced </t>
        </is>
      </c>
    </row>
    <row r="51">
      <c r="A51" t="inlineStr">
        <is>
          <t>00050</t>
        </is>
      </c>
      <c r="B51" t="inlineStr">
        <is>
          <t>Client 050 Holdings</t>
        </is>
      </c>
      <c r="C51" t="inlineStr">
        <is>
          <t>UKCo</t>
        </is>
      </c>
      <c r="D51" t="inlineStr">
        <is>
          <t>CC-110</t>
        </is>
      </c>
      <c r="E51" t="inlineStr">
        <is>
          <t>equity</t>
        </is>
      </c>
    </row>
    <row r="52">
      <c r="A52" t="inlineStr">
        <is>
          <t>00051</t>
        </is>
      </c>
      <c r="B52" t="inlineStr">
        <is>
          <t>Client 051 Holdings</t>
        </is>
      </c>
      <c r="C52" t="inlineStr">
        <is>
          <t>DubCo</t>
        </is>
      </c>
      <c r="D52" t="inlineStr">
        <is>
          <t>CC-120</t>
        </is>
      </c>
      <c r="E52" t="inlineStr">
        <is>
          <t xml:space="preserve"> fixed income</t>
        </is>
      </c>
    </row>
    <row r="53">
      <c r="A53" t="inlineStr">
        <is>
          <t>00052</t>
        </is>
      </c>
      <c r="B53" t="inlineStr">
        <is>
          <t>Client 052 Holdings</t>
        </is>
      </c>
      <c r="C53" t="inlineStr">
        <is>
          <t>LuxCo</t>
        </is>
      </c>
      <c r="D53" t="inlineStr">
        <is>
          <t>CC-130</t>
        </is>
      </c>
      <c r="E53" t="inlineStr">
        <is>
          <t xml:space="preserve">  balanced </t>
        </is>
      </c>
    </row>
    <row r="54">
      <c r="A54" t="inlineStr">
        <is>
          <t>00053</t>
        </is>
      </c>
      <c r="B54" t="inlineStr">
        <is>
          <t>Client 053 Holdings</t>
        </is>
      </c>
      <c r="C54" t="inlineStr">
        <is>
          <t>UKCo</t>
        </is>
      </c>
      <c r="D54" t="inlineStr">
        <is>
          <t>CC-140</t>
        </is>
      </c>
      <c r="E54" t="inlineStr">
        <is>
          <t>equity</t>
        </is>
      </c>
    </row>
    <row r="55">
      <c r="A55" t="inlineStr">
        <is>
          <t>00054</t>
        </is>
      </c>
      <c r="B55" t="inlineStr">
        <is>
          <t>Client 054 Holdings</t>
        </is>
      </c>
      <c r="C55" t="inlineStr">
        <is>
          <t>DubCo</t>
        </is>
      </c>
      <c r="D55" t="inlineStr">
        <is>
          <t>CC-150</t>
        </is>
      </c>
      <c r="E55" t="inlineStr">
        <is>
          <t xml:space="preserve"> fixed income</t>
        </is>
      </c>
    </row>
    <row r="56">
      <c r="A56" t="inlineStr">
        <is>
          <t>00055</t>
        </is>
      </c>
      <c r="B56" t="inlineStr">
        <is>
          <t>Client 055 Holdings</t>
        </is>
      </c>
      <c r="C56" t="inlineStr">
        <is>
          <t>LuxCo</t>
        </is>
      </c>
      <c r="D56" t="inlineStr">
        <is>
          <t>CC-100</t>
        </is>
      </c>
      <c r="E56" t="inlineStr">
        <is>
          <t xml:space="preserve">  balanced </t>
        </is>
      </c>
    </row>
    <row r="57">
      <c r="A57" t="inlineStr">
        <is>
          <t>00056</t>
        </is>
      </c>
      <c r="B57" t="inlineStr">
        <is>
          <t>Client 056 Holdings</t>
        </is>
      </c>
      <c r="C57" t="inlineStr">
        <is>
          <t>UKCo</t>
        </is>
      </c>
      <c r="D57" t="inlineStr">
        <is>
          <t>CC-110</t>
        </is>
      </c>
      <c r="E57" t="inlineStr">
        <is>
          <t>equity</t>
        </is>
      </c>
    </row>
    <row r="58">
      <c r="A58" t="inlineStr">
        <is>
          <t>00057</t>
        </is>
      </c>
      <c r="B58" t="inlineStr">
        <is>
          <t>Client 057 Holdings</t>
        </is>
      </c>
      <c r="C58" t="inlineStr">
        <is>
          <t>DubCo</t>
        </is>
      </c>
      <c r="D58" t="inlineStr">
        <is>
          <t>CC-120</t>
        </is>
      </c>
      <c r="E58" t="inlineStr">
        <is>
          <t xml:space="preserve"> fixed income</t>
        </is>
      </c>
    </row>
    <row r="59">
      <c r="A59" t="inlineStr">
        <is>
          <t>00058</t>
        </is>
      </c>
      <c r="B59" t="inlineStr">
        <is>
          <t>Client 058 Holdings</t>
        </is>
      </c>
      <c r="C59" t="inlineStr">
        <is>
          <t>LuxCo</t>
        </is>
      </c>
      <c r="D59" t="inlineStr">
        <is>
          <t>CC-130</t>
        </is>
      </c>
      <c r="E59" t="inlineStr">
        <is>
          <t xml:space="preserve">  balanced </t>
        </is>
      </c>
    </row>
    <row r="60">
      <c r="A60" t="inlineStr">
        <is>
          <t>00059</t>
        </is>
      </c>
      <c r="B60" t="inlineStr">
        <is>
          <t>Client 059 Holdings</t>
        </is>
      </c>
      <c r="C60" t="inlineStr">
        <is>
          <t>UKCo</t>
        </is>
      </c>
      <c r="D60" t="inlineStr">
        <is>
          <t>CC-140</t>
        </is>
      </c>
      <c r="E60" t="inlineStr">
        <is>
          <t>equity</t>
        </is>
      </c>
    </row>
    <row r="61">
      <c r="A61" t="inlineStr">
        <is>
          <t>00060</t>
        </is>
      </c>
      <c r="B61" t="inlineStr">
        <is>
          <t>Client 060 Holdings</t>
        </is>
      </c>
      <c r="C61" t="inlineStr">
        <is>
          <t>DubCo</t>
        </is>
      </c>
      <c r="D61" t="inlineStr">
        <is>
          <t>CC-150</t>
        </is>
      </c>
      <c r="E61" t="inlineStr">
        <is>
          <t xml:space="preserve"> fixed income</t>
        </is>
      </c>
    </row>
    <row r="62">
      <c r="A62" t="inlineStr">
        <is>
          <t>00061</t>
        </is>
      </c>
      <c r="B62" t="inlineStr">
        <is>
          <t>Client 061 Holdings</t>
        </is>
      </c>
      <c r="C62" t="inlineStr">
        <is>
          <t>LuxCo</t>
        </is>
      </c>
      <c r="D62" t="inlineStr">
        <is>
          <t>CC-100</t>
        </is>
      </c>
      <c r="E62" t="inlineStr">
        <is>
          <t xml:space="preserve">  balanced </t>
        </is>
      </c>
    </row>
    <row r="63">
      <c r="A63" t="inlineStr">
        <is>
          <t>00062</t>
        </is>
      </c>
      <c r="B63" t="inlineStr">
        <is>
          <t>Client 062 Holdings</t>
        </is>
      </c>
      <c r="C63" t="inlineStr">
        <is>
          <t>UKCo</t>
        </is>
      </c>
      <c r="D63" t="inlineStr">
        <is>
          <t>CC-110</t>
        </is>
      </c>
      <c r="E63" t="inlineStr">
        <is>
          <t>equity</t>
        </is>
      </c>
    </row>
    <row r="64">
      <c r="A64" t="inlineStr">
        <is>
          <t>00063</t>
        </is>
      </c>
      <c r="B64" t="inlineStr">
        <is>
          <t>Client 063 Holdings</t>
        </is>
      </c>
      <c r="C64" t="inlineStr">
        <is>
          <t>DubCo</t>
        </is>
      </c>
      <c r="D64" t="inlineStr">
        <is>
          <t>CC-120</t>
        </is>
      </c>
      <c r="E64" t="inlineStr">
        <is>
          <t xml:space="preserve"> fixed income</t>
        </is>
      </c>
    </row>
    <row r="65">
      <c r="A65" t="inlineStr">
        <is>
          <t>00064</t>
        </is>
      </c>
      <c r="B65" t="inlineStr">
        <is>
          <t>Client 064 Holdings</t>
        </is>
      </c>
      <c r="C65" t="inlineStr">
        <is>
          <t>LuxCo</t>
        </is>
      </c>
      <c r="D65" t="inlineStr">
        <is>
          <t>CC-130</t>
        </is>
      </c>
      <c r="E65" t="inlineStr">
        <is>
          <t xml:space="preserve">  balanced </t>
        </is>
      </c>
    </row>
    <row r="66">
      <c r="A66" t="inlineStr">
        <is>
          <t>00065</t>
        </is>
      </c>
      <c r="B66" t="inlineStr">
        <is>
          <t>Client 065 Holdings</t>
        </is>
      </c>
      <c r="C66" t="inlineStr">
        <is>
          <t>UKCo</t>
        </is>
      </c>
      <c r="D66" t="inlineStr">
        <is>
          <t>CC-140</t>
        </is>
      </c>
      <c r="E66" t="inlineStr">
        <is>
          <t>equity</t>
        </is>
      </c>
    </row>
    <row r="67">
      <c r="A67" t="inlineStr">
        <is>
          <t>00066</t>
        </is>
      </c>
      <c r="B67" t="inlineStr">
        <is>
          <t>Client 066 Holdings</t>
        </is>
      </c>
      <c r="C67" t="inlineStr">
        <is>
          <t>DubCo</t>
        </is>
      </c>
      <c r="D67" t="inlineStr">
        <is>
          <t>CC-150</t>
        </is>
      </c>
      <c r="E67" t="inlineStr">
        <is>
          <t xml:space="preserve"> fixed income</t>
        </is>
      </c>
    </row>
    <row r="68">
      <c r="A68" t="inlineStr">
        <is>
          <t>00067</t>
        </is>
      </c>
      <c r="B68" t="inlineStr">
        <is>
          <t>Client 067 Holdings</t>
        </is>
      </c>
      <c r="C68" t="inlineStr">
        <is>
          <t>LuxCo</t>
        </is>
      </c>
      <c r="D68" t="inlineStr">
        <is>
          <t>CC-100</t>
        </is>
      </c>
      <c r="E68" t="inlineStr">
        <is>
          <t xml:space="preserve">  balanced </t>
        </is>
      </c>
    </row>
    <row r="69">
      <c r="A69" t="inlineStr">
        <is>
          <t>00068</t>
        </is>
      </c>
      <c r="B69" t="inlineStr">
        <is>
          <t>Client 068 Holdings</t>
        </is>
      </c>
      <c r="C69" t="inlineStr">
        <is>
          <t>UKCo</t>
        </is>
      </c>
      <c r="D69" t="inlineStr">
        <is>
          <t>CC-110</t>
        </is>
      </c>
      <c r="E69" t="inlineStr">
        <is>
          <t>equity</t>
        </is>
      </c>
    </row>
    <row r="70">
      <c r="A70" t="inlineStr">
        <is>
          <t>00069</t>
        </is>
      </c>
      <c r="B70" t="inlineStr">
        <is>
          <t>Client 069 Holdings</t>
        </is>
      </c>
      <c r="C70" t="inlineStr">
        <is>
          <t>DubCo</t>
        </is>
      </c>
      <c r="D70" t="inlineStr">
        <is>
          <t>CC-120</t>
        </is>
      </c>
      <c r="E70" t="inlineStr">
        <is>
          <t xml:space="preserve"> fixed income</t>
        </is>
      </c>
    </row>
    <row r="71">
      <c r="A71" t="inlineStr">
        <is>
          <t>00070</t>
        </is>
      </c>
      <c r="B71" t="inlineStr">
        <is>
          <t>Client 070 Holdings</t>
        </is>
      </c>
      <c r="C71" t="inlineStr">
        <is>
          <t>LuxCo</t>
        </is>
      </c>
      <c r="D71" t="inlineStr">
        <is>
          <t>CC-130</t>
        </is>
      </c>
      <c r="E71" t="inlineStr">
        <is>
          <t xml:space="preserve">  balanced </t>
        </is>
      </c>
    </row>
    <row r="72">
      <c r="A72" t="inlineStr">
        <is>
          <t>00071</t>
        </is>
      </c>
      <c r="B72" t="inlineStr">
        <is>
          <t>Client 071 Holdings</t>
        </is>
      </c>
      <c r="C72" t="inlineStr">
        <is>
          <t>UKCo</t>
        </is>
      </c>
      <c r="D72" t="inlineStr">
        <is>
          <t>CC-140</t>
        </is>
      </c>
      <c r="E72" t="inlineStr">
        <is>
          <t>equity</t>
        </is>
      </c>
    </row>
    <row r="73">
      <c r="A73" t="inlineStr">
        <is>
          <t>00072</t>
        </is>
      </c>
      <c r="B73" t="inlineStr">
        <is>
          <t>Client 072 Holdings</t>
        </is>
      </c>
      <c r="C73" t="inlineStr">
        <is>
          <t>DubCo</t>
        </is>
      </c>
      <c r="D73" t="inlineStr">
        <is>
          <t>CC-150</t>
        </is>
      </c>
      <c r="E73" t="inlineStr">
        <is>
          <t xml:space="preserve"> fixed income</t>
        </is>
      </c>
    </row>
    <row r="74">
      <c r="A74" t="inlineStr">
        <is>
          <t>00073</t>
        </is>
      </c>
      <c r="B74" t="inlineStr">
        <is>
          <t>Client 073 Holdings</t>
        </is>
      </c>
      <c r="C74" t="inlineStr">
        <is>
          <t>LuxCo</t>
        </is>
      </c>
      <c r="D74" t="inlineStr">
        <is>
          <t>CC-100</t>
        </is>
      </c>
      <c r="E74" t="inlineStr">
        <is>
          <t xml:space="preserve">  balanced </t>
        </is>
      </c>
    </row>
    <row r="75">
      <c r="A75" t="inlineStr">
        <is>
          <t>00074</t>
        </is>
      </c>
      <c r="B75" t="inlineStr">
        <is>
          <t>Client 074 Holdings</t>
        </is>
      </c>
      <c r="C75" t="inlineStr">
        <is>
          <t>UKCo</t>
        </is>
      </c>
      <c r="D75" t="inlineStr">
        <is>
          <t>CC-110</t>
        </is>
      </c>
      <c r="E75" t="inlineStr">
        <is>
          <t>equity</t>
        </is>
      </c>
    </row>
    <row r="76">
      <c r="A76" t="inlineStr">
        <is>
          <t>00075</t>
        </is>
      </c>
      <c r="B76" t="inlineStr">
        <is>
          <t>Client 075 Holdings</t>
        </is>
      </c>
      <c r="C76" t="inlineStr">
        <is>
          <t>DubCo</t>
        </is>
      </c>
      <c r="D76" t="inlineStr">
        <is>
          <t>CC-120</t>
        </is>
      </c>
      <c r="E76" t="inlineStr">
        <is>
          <t xml:space="preserve"> fixed income</t>
        </is>
      </c>
    </row>
    <row r="77">
      <c r="A77" t="inlineStr">
        <is>
          <t>00076</t>
        </is>
      </c>
      <c r="B77" t="inlineStr">
        <is>
          <t>Client 076 Holdings</t>
        </is>
      </c>
      <c r="C77" t="inlineStr">
        <is>
          <t>LuxCo</t>
        </is>
      </c>
      <c r="D77" t="inlineStr">
        <is>
          <t>CC-130</t>
        </is>
      </c>
      <c r="E77" t="inlineStr">
        <is>
          <t xml:space="preserve">  balanced </t>
        </is>
      </c>
    </row>
    <row r="78">
      <c r="A78" t="inlineStr">
        <is>
          <t>00077</t>
        </is>
      </c>
      <c r="B78" t="inlineStr">
        <is>
          <t>Client 077 Holdings</t>
        </is>
      </c>
      <c r="C78" t="inlineStr">
        <is>
          <t>UKCo</t>
        </is>
      </c>
      <c r="D78" t="inlineStr">
        <is>
          <t>CC-140</t>
        </is>
      </c>
      <c r="E78" t="inlineStr">
        <is>
          <t>equity</t>
        </is>
      </c>
    </row>
    <row r="79">
      <c r="A79" t="inlineStr">
        <is>
          <t>00078</t>
        </is>
      </c>
      <c r="B79" t="inlineStr">
        <is>
          <t>Client 078 Holdings</t>
        </is>
      </c>
      <c r="C79" t="inlineStr">
        <is>
          <t>DubCo</t>
        </is>
      </c>
      <c r="D79" t="inlineStr">
        <is>
          <t>CC-150</t>
        </is>
      </c>
      <c r="E79" t="inlineStr">
        <is>
          <t xml:space="preserve"> fixed income</t>
        </is>
      </c>
    </row>
    <row r="80">
      <c r="A80" t="inlineStr">
        <is>
          <t>00079</t>
        </is>
      </c>
      <c r="B80" t="inlineStr">
        <is>
          <t>Client 079 Holdings</t>
        </is>
      </c>
      <c r="C80" t="inlineStr">
        <is>
          <t>LuxCo</t>
        </is>
      </c>
      <c r="D80" t="inlineStr">
        <is>
          <t>CC-100</t>
        </is>
      </c>
      <c r="E80" t="inlineStr">
        <is>
          <t xml:space="preserve">  balanced </t>
        </is>
      </c>
    </row>
    <row r="81">
      <c r="A81" t="inlineStr">
        <is>
          <t>00080</t>
        </is>
      </c>
      <c r="B81" t="inlineStr">
        <is>
          <t>Client 080 Holdings</t>
        </is>
      </c>
      <c r="C81" t="inlineStr">
        <is>
          <t>UKCo</t>
        </is>
      </c>
      <c r="D81" t="inlineStr">
        <is>
          <t>CC-110</t>
        </is>
      </c>
      <c r="E81" t="inlineStr">
        <is>
          <t>equity</t>
        </is>
      </c>
    </row>
    <row r="82">
      <c r="A82" t="inlineStr">
        <is>
          <t>00081</t>
        </is>
      </c>
      <c r="B82" t="inlineStr">
        <is>
          <t>Client 081 Holdings</t>
        </is>
      </c>
      <c r="C82" t="inlineStr">
        <is>
          <t>DubCo</t>
        </is>
      </c>
      <c r="D82" t="inlineStr">
        <is>
          <t>CC-120</t>
        </is>
      </c>
      <c r="E82" t="inlineStr">
        <is>
          <t xml:space="preserve"> fixed income</t>
        </is>
      </c>
    </row>
    <row r="83">
      <c r="A83" t="inlineStr">
        <is>
          <t>00082</t>
        </is>
      </c>
      <c r="B83" t="inlineStr">
        <is>
          <t>Client 082 Holdings</t>
        </is>
      </c>
      <c r="C83" t="inlineStr">
        <is>
          <t>LuxCo</t>
        </is>
      </c>
      <c r="D83" t="inlineStr">
        <is>
          <t>CC-130</t>
        </is>
      </c>
      <c r="E83" t="inlineStr">
        <is>
          <t xml:space="preserve">  balanced </t>
        </is>
      </c>
    </row>
    <row r="84">
      <c r="A84" t="inlineStr">
        <is>
          <t>00083</t>
        </is>
      </c>
      <c r="B84" t="inlineStr">
        <is>
          <t>Client 083 Holdings</t>
        </is>
      </c>
      <c r="C84" t="inlineStr">
        <is>
          <t>UKCo</t>
        </is>
      </c>
      <c r="D84" t="inlineStr">
        <is>
          <t>CC-140</t>
        </is>
      </c>
      <c r="E84" t="inlineStr">
        <is>
          <t>equity</t>
        </is>
      </c>
    </row>
    <row r="85">
      <c r="A85" t="inlineStr">
        <is>
          <t>00084</t>
        </is>
      </c>
      <c r="B85" t="inlineStr">
        <is>
          <t>Client 084 Holdings</t>
        </is>
      </c>
      <c r="C85" t="inlineStr">
        <is>
          <t>DubCo</t>
        </is>
      </c>
      <c r="D85" t="inlineStr">
        <is>
          <t>CC-150</t>
        </is>
      </c>
      <c r="E85" t="inlineStr">
        <is>
          <t xml:space="preserve"> fixed income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sheetData>
    <row r="1">
      <c r="A1" s="1" t="inlineStr">
        <is>
          <t>legal_entity</t>
        </is>
      </c>
      <c r="B1" s="1" t="inlineStr">
        <is>
          <t>october_gbp</t>
        </is>
      </c>
      <c r="C1" s="1" t="inlineStr">
        <is>
          <t>november_gbp</t>
        </is>
      </c>
      <c r="D1" s="1" t="inlineStr">
        <is>
          <t>variance_gbp</t>
        </is>
      </c>
      <c r="E1" s="1" t="inlineStr">
        <is>
          <t>commentary</t>
        </is>
      </c>
      <c r="F1" s="1" t="inlineStr">
        <is>
          <t>variance_pct</t>
        </is>
      </c>
      <c r="G1" s="1" t="inlineStr">
        <is>
          <t>flag</t>
        </is>
      </c>
    </row>
    <row r="2">
      <c r="A2" t="inlineStr">
        <is>
          <t>LuxCo</t>
        </is>
      </c>
      <c r="B2" t="n">
        <v>412880.44</v>
      </c>
      <c r="C2">
        <f>SUMIF(Allocation!$B:$B,$A2,Allocation!$E:$E)</f>
        <v/>
      </c>
      <c r="D2">
        <f>C2-B2</f>
        <v/>
      </c>
      <c r="E2" t="inlineStr">
        <is>
          <t>Transfer in from the Geneva book; expected.</t>
        </is>
      </c>
      <c r="F2">
        <f>IFERROR(D2/B2,0)</f>
        <v/>
      </c>
      <c r="G2">
        <f>IF(ABS(F2)&gt;0.05,"REVIEW","")</f>
        <v/>
      </c>
    </row>
    <row r="3">
      <c r="A3" t="inlineStr">
        <is>
          <t>UKCo</t>
        </is>
      </c>
      <c r="B3" t="n">
        <v>388100.02</v>
      </c>
      <c r="C3">
        <f>SUMIF(Allocation!$B:$B,$A3,Allocation!$E:$E)</f>
        <v/>
      </c>
      <c r="D3">
        <f>C3-B3</f>
        <v/>
      </c>
      <c r="E3" t="inlineStr">
        <is>
          <t>Two mandates closed in October.</t>
        </is>
      </c>
      <c r="F3">
        <f>IFERROR(D3/B3,0)</f>
        <v/>
      </c>
      <c r="G3">
        <f>IF(ABS(F3)&gt;0.05,"REVIEW","")</f>
        <v/>
      </c>
    </row>
    <row r="4">
      <c r="A4" t="inlineStr">
        <is>
          <t>DubCo</t>
        </is>
      </c>
      <c r="B4" t="n">
        <v>205990.18</v>
      </c>
      <c r="C4">
        <f>SUMIF(Allocation!$B:$B,$A4,Allocation!$E:$E)</f>
        <v/>
      </c>
      <c r="D4">
        <f>C4-B4</f>
        <v/>
      </c>
      <c r="E4" t="inlineStr">
        <is>
          <t>Unexplained. Raised with the desk 2026-11-04.</t>
        </is>
      </c>
      <c r="F4">
        <f>IFERROR(D4/B4,0)</f>
        <v/>
      </c>
      <c r="G4">
        <f>IF(ABS(F4)&gt;0.05,"REVIEW","")</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s="4" t="inlineStr">
        <is>
          <t>Management fee billing run -- sign-off</t>
        </is>
      </c>
    </row>
    <row r="3">
      <c r="A3" s="1" t="inlineStr">
        <is>
          <t>Purpose</t>
        </is>
      </c>
    </row>
    <row r="4">
      <c r="A4" s="5" t="inlineStr">
        <is>
          <t>Calculate the management fee owed by each client for the month, apply the agreed floors, caps and discounts, allocate the result to the legal entity and cost centre that will carry it, and post the invoices to the ledger.</t>
        </is>
      </c>
    </row>
    <row r="6">
      <c r="A6" s="1" t="inlineStr">
        <is>
          <t>Background</t>
        </is>
      </c>
    </row>
    <row r="7">
      <c r="A7" s="5" t="inlineStr">
        <is>
          <t>The tiered schedule replaced a flat 26bps rate in January 2024. The old columns are still in the Working tab because the 2024 comparatives were needed for the audit; nothing reads them now.</t>
        </is>
      </c>
    </row>
    <row r="9">
      <c r="A9" s="1" t="inlineStr">
        <is>
          <t>Known issues</t>
        </is>
      </c>
    </row>
    <row r="10">
      <c r="A10" s="5" t="inlineStr">
        <is>
          <t>The Allocation tab is left on manual calculation because recalculating it on a full extract takes several minutes. Check the totals against Recon before signing. Three clients have agreed fees that override the calculation -- see the Overrides tab, and confirm each one still applies before posting.</t>
        </is>
      </c>
    </row>
    <row r="12">
      <c r="A12" s="1" t="inlineStr">
        <is>
          <t>Cadence</t>
        </is>
      </c>
    </row>
    <row r="13">
      <c r="A13" s="5" t="inlineStr">
        <is>
          <t>Monthly, on the third working day, after the position extract has been signed off by Middle 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
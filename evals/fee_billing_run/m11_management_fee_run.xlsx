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hilm\PycharmProjects\kedge\.claude\worktrees\eval-proposal-fee-billing-run\evals\fee_billing_run\"/>
    </mc:Choice>
  </mc:AlternateContent>
  <xr:revisionPtr revIDLastSave="0" documentId="13_ncr:1_{FD3BB11C-33B8-47D2-8906-03919B784815}" xr6:coauthVersionLast="47" xr6:coauthVersionMax="47" xr10:uidLastSave="{00000000-0000-0000-0000-000000000000}"/>
  <bookViews>
    <workbookView xWindow="-110" yWindow="-110" windowWidth="30940" windowHeight="18700" xr2:uid="{00000000-000D-0000-FFFF-FFFF00000000}"/>
  </bookViews>
  <sheets>
    <sheet name="Positions" sheetId="1" r:id="rId1"/>
    <sheet name="Fee Schedule" sheetId="2" r:id="rId2"/>
    <sheet name="Working" sheetId="3" r:id="rId3"/>
    <sheet name="Overrides" sheetId="4" r:id="rId4"/>
    <sheet name="Allocation" sheetId="5" r:id="rId5"/>
    <sheet name="Summary" sheetId="6" r:id="rId6"/>
    <sheet name="Post" sheetId="7" r:id="rId7"/>
    <sheet name="Entity Map" sheetId="8" r:id="rId8"/>
    <sheet name="Recon" sheetId="9" r:id="rId9"/>
    <sheet name="Sign-off" sheetId="10" r:id="rId10"/>
  </sheets>
  <calcPr calcId="124519" fullCalcOnLoad="0"/>
  <pivotCaches>
    <pivotCache cacheId="5" r:id="rId11"/>
  </pivotCaches>
</workbook>
</file>

<file path=xl/calcChain.xml><?xml version="1.0" encoding="utf-8"?>
<calcChain xmlns="http://schemas.openxmlformats.org/spreadsheetml/2006/main">
  <c r="G4" i="9" l="1"/>
  <c r="F4" i="9"/>
  <c r="D4" i="9"/>
  <c r="C4" i="9"/>
  <c r="G3" i="9"/>
  <c r="F3" i="9"/>
  <c r="D3" i="9"/>
  <c r="C3" i="9"/>
  <c r="G2" i="9"/>
  <c r="F2" i="9"/>
  <c r="D2" i="9"/>
  <c r="C2" i="9"/>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B4" i="4"/>
  <c r="B3" i="4"/>
  <c r="B2" i="4"/>
  <c r="U104" i="3"/>
  <c r="T104" i="3"/>
  <c r="P104" i="3"/>
  <c r="M104" i="3"/>
  <c r="AK102" i="3"/>
  <c r="AJ102" i="3"/>
  <c r="AI102" i="3"/>
  <c r="AH102" i="3"/>
  <c r="AG102" i="3"/>
  <c r="AF102" i="3"/>
  <c r="AE102" i="3"/>
  <c r="AD102" i="3"/>
  <c r="AC102" i="3"/>
  <c r="AB102" i="3"/>
  <c r="AA102" i="3"/>
  <c r="Z102" i="3"/>
  <c r="Y102" i="3"/>
  <c r="X102" i="3"/>
  <c r="W102" i="3"/>
  <c r="V102" i="3"/>
  <c r="U102" i="3"/>
  <c r="T102" i="3"/>
  <c r="S102" i="3"/>
  <c r="R102" i="3"/>
  <c r="Q102" i="3"/>
  <c r="P102" i="3"/>
  <c r="O102" i="3"/>
  <c r="N102" i="3"/>
  <c r="M102" i="3"/>
  <c r="L102" i="3"/>
  <c r="K102" i="3"/>
  <c r="J102" i="3"/>
  <c r="I102" i="3"/>
  <c r="H102" i="3"/>
  <c r="G102" i="3"/>
  <c r="F102" i="3"/>
  <c r="E102" i="3"/>
  <c r="D102" i="3"/>
  <c r="C102" i="3"/>
  <c r="B102" i="3"/>
  <c r="AK101" i="3"/>
  <c r="AJ101" i="3"/>
  <c r="AI101" i="3"/>
  <c r="AH101" i="3"/>
  <c r="AG101" i="3"/>
  <c r="AF101" i="3"/>
  <c r="AE101" i="3"/>
  <c r="AD101" i="3"/>
  <c r="AC101" i="3"/>
  <c r="AB101" i="3"/>
  <c r="AA101" i="3"/>
  <c r="Z101" i="3"/>
  <c r="Y101" i="3"/>
  <c r="X101" i="3"/>
  <c r="W101" i="3"/>
  <c r="V101" i="3"/>
  <c r="U101" i="3"/>
  <c r="T101" i="3"/>
  <c r="S101" i="3"/>
  <c r="R101" i="3"/>
  <c r="Q101" i="3"/>
  <c r="P101" i="3"/>
  <c r="O101" i="3"/>
  <c r="N101" i="3"/>
  <c r="M101" i="3"/>
  <c r="L101" i="3"/>
  <c r="K101" i="3"/>
  <c r="J101" i="3"/>
  <c r="I101" i="3"/>
  <c r="H101" i="3"/>
  <c r="G101" i="3"/>
  <c r="F101" i="3"/>
  <c r="E101" i="3"/>
  <c r="D101" i="3"/>
  <c r="C101" i="3"/>
  <c r="B101" i="3"/>
  <c r="AK100" i="3"/>
  <c r="AJ100" i="3"/>
  <c r="AI100" i="3"/>
  <c r="AH100" i="3"/>
  <c r="AG100" i="3"/>
  <c r="AF100" i="3"/>
  <c r="AE100" i="3"/>
  <c r="AD100" i="3"/>
  <c r="AC100" i="3"/>
  <c r="AB100" i="3"/>
  <c r="AA100" i="3"/>
  <c r="Z100" i="3"/>
  <c r="Y100" i="3"/>
  <c r="X100" i="3"/>
  <c r="W100" i="3"/>
  <c r="V100" i="3"/>
  <c r="U100" i="3"/>
  <c r="T100" i="3"/>
  <c r="S100" i="3"/>
  <c r="R100" i="3"/>
  <c r="Q100" i="3"/>
  <c r="P100" i="3"/>
  <c r="O100" i="3"/>
  <c r="N100" i="3"/>
  <c r="M100" i="3"/>
  <c r="L100" i="3"/>
  <c r="K100" i="3"/>
  <c r="J100" i="3"/>
  <c r="I100" i="3"/>
  <c r="H100" i="3"/>
  <c r="G100" i="3"/>
  <c r="F100" i="3"/>
  <c r="E100" i="3"/>
  <c r="D100" i="3"/>
  <c r="C100" i="3"/>
  <c r="B100" i="3"/>
  <c r="AK99" i="3"/>
  <c r="AJ99" i="3"/>
  <c r="AI99" i="3"/>
  <c r="AH99" i="3"/>
  <c r="AG99" i="3"/>
  <c r="AF99" i="3"/>
  <c r="AE99" i="3"/>
  <c r="AD99" i="3"/>
  <c r="AC99" i="3"/>
  <c r="AB99" i="3"/>
  <c r="AA99" i="3"/>
  <c r="Z99" i="3"/>
  <c r="Y99" i="3"/>
  <c r="X99" i="3"/>
  <c r="W99" i="3"/>
  <c r="V99" i="3"/>
  <c r="U99" i="3"/>
  <c r="T99" i="3"/>
  <c r="S99" i="3"/>
  <c r="R99" i="3"/>
  <c r="Q99" i="3"/>
  <c r="P99" i="3"/>
  <c r="O99" i="3"/>
  <c r="N99" i="3"/>
  <c r="M99" i="3"/>
  <c r="L99" i="3"/>
  <c r="K99" i="3"/>
  <c r="J99" i="3"/>
  <c r="I99" i="3"/>
  <c r="H99" i="3"/>
  <c r="G99" i="3"/>
  <c r="F99" i="3"/>
  <c r="E99" i="3"/>
  <c r="D99" i="3"/>
  <c r="C99" i="3"/>
  <c r="B99" i="3"/>
  <c r="AK98" i="3"/>
  <c r="AJ98" i="3"/>
  <c r="AI98" i="3"/>
  <c r="AH98" i="3"/>
  <c r="AG98" i="3"/>
  <c r="AF98" i="3"/>
  <c r="AE98" i="3"/>
  <c r="AD98" i="3"/>
  <c r="AC98" i="3"/>
  <c r="AB98" i="3"/>
  <c r="AA98" i="3"/>
  <c r="Z98" i="3"/>
  <c r="Y98" i="3"/>
  <c r="X98" i="3"/>
  <c r="W98" i="3"/>
  <c r="V98" i="3"/>
  <c r="U98" i="3"/>
  <c r="T98" i="3"/>
  <c r="S98" i="3"/>
  <c r="R98" i="3"/>
  <c r="Q98" i="3"/>
  <c r="P98" i="3"/>
  <c r="O98" i="3"/>
  <c r="N98" i="3"/>
  <c r="M98" i="3"/>
  <c r="L98" i="3"/>
  <c r="K98" i="3"/>
  <c r="J98" i="3"/>
  <c r="I98" i="3"/>
  <c r="H98" i="3"/>
  <c r="G98" i="3"/>
  <c r="F98" i="3"/>
  <c r="E98" i="3"/>
  <c r="D98" i="3"/>
  <c r="C98" i="3"/>
  <c r="B98" i="3"/>
  <c r="AK97" i="3"/>
  <c r="AJ97" i="3"/>
  <c r="AI97" i="3"/>
  <c r="AH97" i="3"/>
  <c r="AG97" i="3"/>
  <c r="AF97" i="3"/>
  <c r="AE97" i="3"/>
  <c r="AD97" i="3"/>
  <c r="AC97" i="3"/>
  <c r="AB97" i="3"/>
  <c r="AA97" i="3"/>
  <c r="Z97" i="3"/>
  <c r="Y97" i="3"/>
  <c r="X97" i="3"/>
  <c r="W97" i="3"/>
  <c r="V97" i="3"/>
  <c r="U97" i="3"/>
  <c r="T97" i="3"/>
  <c r="S97" i="3"/>
  <c r="R97" i="3"/>
  <c r="Q97" i="3"/>
  <c r="P97" i="3"/>
  <c r="O97" i="3"/>
  <c r="N97" i="3"/>
  <c r="M97" i="3"/>
  <c r="L97" i="3"/>
  <c r="K97" i="3"/>
  <c r="J97" i="3"/>
  <c r="I97" i="3"/>
  <c r="H97" i="3"/>
  <c r="G97" i="3"/>
  <c r="F97" i="3"/>
  <c r="E97" i="3"/>
  <c r="D97" i="3"/>
  <c r="C97" i="3"/>
  <c r="B97" i="3"/>
  <c r="AK96" i="3"/>
  <c r="AJ96" i="3"/>
  <c r="AI96" i="3"/>
  <c r="AH96" i="3"/>
  <c r="AG96" i="3"/>
  <c r="AF96" i="3"/>
  <c r="AE96" i="3"/>
  <c r="AD96" i="3"/>
  <c r="AC96" i="3"/>
  <c r="AB96" i="3"/>
  <c r="AA96" i="3"/>
  <c r="Z96" i="3"/>
  <c r="Y96" i="3"/>
  <c r="X96" i="3"/>
  <c r="W96" i="3"/>
  <c r="V96" i="3"/>
  <c r="U96" i="3"/>
  <c r="T96" i="3"/>
  <c r="S96" i="3"/>
  <c r="R96" i="3"/>
  <c r="Q96" i="3"/>
  <c r="P96" i="3"/>
  <c r="O96" i="3"/>
  <c r="N96" i="3"/>
  <c r="M96" i="3"/>
  <c r="L96" i="3"/>
  <c r="K96" i="3"/>
  <c r="J96" i="3"/>
  <c r="I96" i="3"/>
  <c r="H96" i="3"/>
  <c r="G96" i="3"/>
  <c r="F96" i="3"/>
  <c r="E96" i="3"/>
  <c r="D96" i="3"/>
  <c r="C96" i="3"/>
  <c r="B96" i="3"/>
  <c r="AK95" i="3"/>
  <c r="AJ95" i="3"/>
  <c r="AI95" i="3"/>
  <c r="AH95" i="3"/>
  <c r="AG95" i="3"/>
  <c r="AF95" i="3"/>
  <c r="AE95" i="3"/>
  <c r="AD95" i="3"/>
  <c r="AC95" i="3"/>
  <c r="AB95" i="3"/>
  <c r="AA95" i="3"/>
  <c r="Z95" i="3"/>
  <c r="Y95" i="3"/>
  <c r="X95" i="3"/>
  <c r="W95" i="3"/>
  <c r="V95" i="3"/>
  <c r="U95" i="3"/>
  <c r="T95" i="3"/>
  <c r="S95" i="3"/>
  <c r="R95" i="3"/>
  <c r="Q95" i="3"/>
  <c r="P95" i="3"/>
  <c r="O95" i="3"/>
  <c r="N95" i="3"/>
  <c r="M95" i="3"/>
  <c r="L95" i="3"/>
  <c r="K95" i="3"/>
  <c r="J95" i="3"/>
  <c r="I95" i="3"/>
  <c r="H95" i="3"/>
  <c r="G95" i="3"/>
  <c r="F95" i="3"/>
  <c r="E95" i="3"/>
  <c r="D95" i="3"/>
  <c r="C95" i="3"/>
  <c r="B95" i="3"/>
  <c r="AK94" i="3"/>
  <c r="AJ94" i="3"/>
  <c r="AI94" i="3"/>
  <c r="AH94" i="3"/>
  <c r="AG94" i="3"/>
  <c r="AF94" i="3"/>
  <c r="AE94" i="3"/>
  <c r="AD94" i="3"/>
  <c r="AC94" i="3"/>
  <c r="AB94" i="3"/>
  <c r="AA94" i="3"/>
  <c r="Z94" i="3"/>
  <c r="Y94" i="3"/>
  <c r="X94" i="3"/>
  <c r="W94" i="3"/>
  <c r="V94" i="3"/>
  <c r="U94" i="3"/>
  <c r="T94" i="3"/>
  <c r="S94" i="3"/>
  <c r="R94" i="3"/>
  <c r="Q94" i="3"/>
  <c r="P94" i="3"/>
  <c r="O94" i="3"/>
  <c r="N94" i="3"/>
  <c r="M94" i="3"/>
  <c r="L94" i="3"/>
  <c r="K94" i="3"/>
  <c r="J94" i="3"/>
  <c r="I94" i="3"/>
  <c r="H94" i="3"/>
  <c r="G94" i="3"/>
  <c r="F94" i="3"/>
  <c r="E94" i="3"/>
  <c r="D94" i="3"/>
  <c r="C94" i="3"/>
  <c r="B94" i="3"/>
  <c r="AK93" i="3"/>
  <c r="AJ93" i="3"/>
  <c r="AI93" i="3"/>
  <c r="AH93" i="3"/>
  <c r="AG93" i="3"/>
  <c r="AF93" i="3"/>
  <c r="AE93" i="3"/>
  <c r="AD93" i="3"/>
  <c r="AC93" i="3"/>
  <c r="AB93" i="3"/>
  <c r="AA93" i="3"/>
  <c r="Z93" i="3"/>
  <c r="Y93" i="3"/>
  <c r="X93" i="3"/>
  <c r="W93" i="3"/>
  <c r="V93" i="3"/>
  <c r="U93" i="3"/>
  <c r="T93" i="3"/>
  <c r="S93" i="3"/>
  <c r="R93" i="3"/>
  <c r="Q93" i="3"/>
  <c r="P93" i="3"/>
  <c r="O93" i="3"/>
  <c r="N93" i="3"/>
  <c r="M93" i="3"/>
  <c r="L93" i="3"/>
  <c r="K93" i="3"/>
  <c r="J93" i="3"/>
  <c r="I93" i="3"/>
  <c r="H93" i="3"/>
  <c r="G93" i="3"/>
  <c r="F93" i="3"/>
  <c r="E93" i="3"/>
  <c r="D93" i="3"/>
  <c r="C93" i="3"/>
  <c r="B93" i="3"/>
  <c r="AK92" i="3"/>
  <c r="AJ92" i="3"/>
  <c r="AI92" i="3"/>
  <c r="AH92" i="3"/>
  <c r="AG92" i="3"/>
  <c r="AF92" i="3"/>
  <c r="AE92" i="3"/>
  <c r="AD92" i="3"/>
  <c r="AC92" i="3"/>
  <c r="AB92" i="3"/>
  <c r="AA92" i="3"/>
  <c r="Z92" i="3"/>
  <c r="Y92" i="3"/>
  <c r="X92" i="3"/>
  <c r="W92" i="3"/>
  <c r="V92" i="3"/>
  <c r="U92" i="3"/>
  <c r="T92" i="3"/>
  <c r="S92" i="3"/>
  <c r="R92" i="3"/>
  <c r="Q92" i="3"/>
  <c r="P92" i="3"/>
  <c r="O92" i="3"/>
  <c r="N92" i="3"/>
  <c r="M92" i="3"/>
  <c r="L92" i="3"/>
  <c r="K92" i="3"/>
  <c r="J92" i="3"/>
  <c r="I92" i="3"/>
  <c r="H92" i="3"/>
  <c r="G92" i="3"/>
  <c r="F92" i="3"/>
  <c r="E92" i="3"/>
  <c r="D92" i="3"/>
  <c r="C92" i="3"/>
  <c r="B92" i="3"/>
  <c r="AK91" i="3"/>
  <c r="AJ91" i="3"/>
  <c r="AI91" i="3"/>
  <c r="AH91" i="3"/>
  <c r="AG91" i="3"/>
  <c r="AF91" i="3"/>
  <c r="AE91" i="3"/>
  <c r="AD91" i="3"/>
  <c r="AC91" i="3"/>
  <c r="AB91" i="3"/>
  <c r="AA91" i="3"/>
  <c r="Z91" i="3"/>
  <c r="Y91" i="3"/>
  <c r="X91" i="3"/>
  <c r="W91" i="3"/>
  <c r="V91" i="3"/>
  <c r="U91" i="3"/>
  <c r="T91" i="3"/>
  <c r="S91" i="3"/>
  <c r="R91" i="3"/>
  <c r="Q91" i="3"/>
  <c r="P91" i="3"/>
  <c r="O91" i="3"/>
  <c r="N91" i="3"/>
  <c r="M91" i="3"/>
  <c r="L91" i="3"/>
  <c r="K91" i="3"/>
  <c r="J91" i="3"/>
  <c r="I91" i="3"/>
  <c r="H91" i="3"/>
  <c r="G91" i="3"/>
  <c r="F91" i="3"/>
  <c r="E91" i="3"/>
  <c r="D91" i="3"/>
  <c r="C91" i="3"/>
  <c r="B91" i="3"/>
  <c r="AK90" i="3"/>
  <c r="AJ90" i="3"/>
  <c r="AI90" i="3"/>
  <c r="AH90" i="3"/>
  <c r="AG90" i="3"/>
  <c r="AF90" i="3"/>
  <c r="AE90" i="3"/>
  <c r="AD90" i="3"/>
  <c r="AC90" i="3"/>
  <c r="AB90" i="3"/>
  <c r="AA90" i="3"/>
  <c r="Z90" i="3"/>
  <c r="Y90" i="3"/>
  <c r="X90" i="3"/>
  <c r="W90" i="3"/>
  <c r="V90" i="3"/>
  <c r="U90" i="3"/>
  <c r="T90" i="3"/>
  <c r="S90" i="3"/>
  <c r="R90" i="3"/>
  <c r="Q90" i="3"/>
  <c r="P90" i="3"/>
  <c r="O90" i="3"/>
  <c r="N90" i="3"/>
  <c r="M90" i="3"/>
  <c r="L90" i="3"/>
  <c r="K90" i="3"/>
  <c r="J90" i="3"/>
  <c r="I90" i="3"/>
  <c r="H90" i="3"/>
  <c r="G90" i="3"/>
  <c r="F90" i="3"/>
  <c r="E90" i="3"/>
  <c r="D90" i="3"/>
  <c r="C90" i="3"/>
  <c r="B90" i="3"/>
  <c r="AK89" i="3"/>
  <c r="AJ89" i="3"/>
  <c r="AI89" i="3"/>
  <c r="AH89" i="3"/>
  <c r="AG89" i="3"/>
  <c r="AF89" i="3"/>
  <c r="AE89" i="3"/>
  <c r="AD89" i="3"/>
  <c r="AC89" i="3"/>
  <c r="AB89" i="3"/>
  <c r="AA89" i="3"/>
  <c r="Z89" i="3"/>
  <c r="Y89" i="3"/>
  <c r="X89" i="3"/>
  <c r="W89" i="3"/>
  <c r="V89" i="3"/>
  <c r="U89" i="3"/>
  <c r="T89" i="3"/>
  <c r="S89" i="3"/>
  <c r="R89" i="3"/>
  <c r="Q89" i="3"/>
  <c r="P89" i="3"/>
  <c r="O89" i="3"/>
  <c r="N89" i="3"/>
  <c r="M89" i="3"/>
  <c r="L89" i="3"/>
  <c r="K89" i="3"/>
  <c r="J89" i="3"/>
  <c r="I89" i="3"/>
  <c r="H89" i="3"/>
  <c r="G89" i="3"/>
  <c r="F89" i="3"/>
  <c r="E89" i="3"/>
  <c r="D89" i="3"/>
  <c r="C89" i="3"/>
  <c r="B89" i="3"/>
  <c r="AK88" i="3"/>
  <c r="AJ88" i="3"/>
  <c r="AI88" i="3"/>
  <c r="AH88" i="3"/>
  <c r="AG88" i="3"/>
  <c r="AF88" i="3"/>
  <c r="AE88" i="3"/>
  <c r="AD88" i="3"/>
  <c r="AC88" i="3"/>
  <c r="AB88" i="3"/>
  <c r="AA88" i="3"/>
  <c r="Z88" i="3"/>
  <c r="Y88" i="3"/>
  <c r="X88" i="3"/>
  <c r="W88" i="3"/>
  <c r="V88" i="3"/>
  <c r="U88" i="3"/>
  <c r="T88" i="3"/>
  <c r="S88" i="3"/>
  <c r="R88" i="3"/>
  <c r="Q88" i="3"/>
  <c r="P88" i="3"/>
  <c r="O88" i="3"/>
  <c r="N88" i="3"/>
  <c r="M88" i="3"/>
  <c r="L88" i="3"/>
  <c r="K88" i="3"/>
  <c r="J88" i="3"/>
  <c r="I88" i="3"/>
  <c r="H88" i="3"/>
  <c r="G88" i="3"/>
  <c r="F88" i="3"/>
  <c r="E88" i="3"/>
  <c r="D88" i="3"/>
  <c r="C88" i="3"/>
  <c r="B88" i="3"/>
  <c r="AK87" i="3"/>
  <c r="AJ87" i="3"/>
  <c r="AI87" i="3"/>
  <c r="AH87" i="3"/>
  <c r="AG87" i="3"/>
  <c r="AF87" i="3"/>
  <c r="AE87" i="3"/>
  <c r="AD87" i="3"/>
  <c r="AC87" i="3"/>
  <c r="AB87" i="3"/>
  <c r="AA87" i="3"/>
  <c r="Z87" i="3"/>
  <c r="Y87" i="3"/>
  <c r="X87" i="3"/>
  <c r="W87" i="3"/>
  <c r="V87" i="3"/>
  <c r="U87" i="3"/>
  <c r="T87" i="3"/>
  <c r="S87" i="3"/>
  <c r="R87" i="3"/>
  <c r="Q87" i="3"/>
  <c r="P87" i="3"/>
  <c r="O87" i="3"/>
  <c r="N87" i="3"/>
  <c r="M87" i="3"/>
  <c r="L87" i="3"/>
  <c r="K87" i="3"/>
  <c r="J87" i="3"/>
  <c r="I87" i="3"/>
  <c r="H87" i="3"/>
  <c r="G87" i="3"/>
  <c r="F87" i="3"/>
  <c r="E87" i="3"/>
  <c r="D87" i="3"/>
  <c r="C87" i="3"/>
  <c r="B87" i="3"/>
  <c r="AK86" i="3"/>
  <c r="AJ86" i="3"/>
  <c r="AI86" i="3"/>
  <c r="AH86" i="3"/>
  <c r="AG86" i="3"/>
  <c r="AF86" i="3"/>
  <c r="AE86" i="3"/>
  <c r="AD86" i="3"/>
  <c r="AC86" i="3"/>
  <c r="AB86" i="3"/>
  <c r="AA86" i="3"/>
  <c r="Z86" i="3"/>
  <c r="Y86" i="3"/>
  <c r="X86" i="3"/>
  <c r="W86" i="3"/>
  <c r="V86" i="3"/>
  <c r="U86" i="3"/>
  <c r="T86" i="3"/>
  <c r="S86" i="3"/>
  <c r="R86" i="3"/>
  <c r="Q86" i="3"/>
  <c r="P86" i="3"/>
  <c r="O86" i="3"/>
  <c r="N86" i="3"/>
  <c r="M86" i="3"/>
  <c r="L86" i="3"/>
  <c r="K86" i="3"/>
  <c r="J86" i="3"/>
  <c r="I86" i="3"/>
  <c r="H86" i="3"/>
  <c r="G86" i="3"/>
  <c r="F86" i="3"/>
  <c r="E86" i="3"/>
  <c r="D86" i="3"/>
  <c r="C86" i="3"/>
  <c r="B86" i="3"/>
  <c r="AK85" i="3"/>
  <c r="AJ85" i="3"/>
  <c r="AI85" i="3"/>
  <c r="AH85" i="3"/>
  <c r="AG85" i="3"/>
  <c r="AF85" i="3"/>
  <c r="AE85" i="3"/>
  <c r="AD85" i="3"/>
  <c r="AC85" i="3"/>
  <c r="AB85" i="3"/>
  <c r="AA85" i="3"/>
  <c r="Z85" i="3"/>
  <c r="Y85" i="3"/>
  <c r="X85" i="3"/>
  <c r="W85" i="3"/>
  <c r="V85" i="3"/>
  <c r="U85" i="3"/>
  <c r="T85" i="3"/>
  <c r="S85" i="3"/>
  <c r="R85" i="3"/>
  <c r="Q85" i="3"/>
  <c r="P85" i="3"/>
  <c r="O85" i="3"/>
  <c r="N85" i="3"/>
  <c r="M85" i="3"/>
  <c r="L85" i="3"/>
  <c r="K85" i="3"/>
  <c r="J85" i="3"/>
  <c r="I85" i="3"/>
  <c r="H85" i="3"/>
  <c r="G85" i="3"/>
  <c r="F85" i="3"/>
  <c r="E85" i="3"/>
  <c r="D85" i="3"/>
  <c r="C85" i="3"/>
  <c r="B85" i="3"/>
  <c r="AK84" i="3"/>
  <c r="AJ84" i="3"/>
  <c r="AI84" i="3"/>
  <c r="AH84" i="3"/>
  <c r="AG84" i="3"/>
  <c r="AF84" i="3"/>
  <c r="AE84" i="3"/>
  <c r="AD84" i="3"/>
  <c r="AC84" i="3"/>
  <c r="AB84" i="3"/>
  <c r="AA84" i="3"/>
  <c r="Z84" i="3"/>
  <c r="Y84" i="3"/>
  <c r="X84" i="3"/>
  <c r="W84" i="3"/>
  <c r="V84" i="3"/>
  <c r="U84" i="3"/>
  <c r="T84" i="3"/>
  <c r="S84" i="3"/>
  <c r="R84" i="3"/>
  <c r="Q84" i="3"/>
  <c r="P84" i="3"/>
  <c r="O84" i="3"/>
  <c r="N84" i="3"/>
  <c r="M84" i="3"/>
  <c r="L84" i="3"/>
  <c r="K84" i="3"/>
  <c r="J84" i="3"/>
  <c r="I84" i="3"/>
  <c r="H84" i="3"/>
  <c r="G84" i="3"/>
  <c r="F84" i="3"/>
  <c r="E84" i="3"/>
  <c r="D84" i="3"/>
  <c r="C84" i="3"/>
  <c r="B84" i="3"/>
  <c r="AK83" i="3"/>
  <c r="AJ83" i="3"/>
  <c r="AI83" i="3"/>
  <c r="AH83" i="3"/>
  <c r="AG83" i="3"/>
  <c r="AF83" i="3"/>
  <c r="AE83" i="3"/>
  <c r="AD83" i="3"/>
  <c r="AC83" i="3"/>
  <c r="AB83" i="3"/>
  <c r="AA83" i="3"/>
  <c r="Z83" i="3"/>
  <c r="Y83" i="3"/>
  <c r="X83" i="3"/>
  <c r="W83" i="3"/>
  <c r="V83" i="3"/>
  <c r="U83" i="3"/>
  <c r="T83" i="3"/>
  <c r="S83" i="3"/>
  <c r="R83" i="3"/>
  <c r="Q83" i="3"/>
  <c r="P83" i="3"/>
  <c r="O83" i="3"/>
  <c r="N83" i="3"/>
  <c r="M83" i="3"/>
  <c r="L83" i="3"/>
  <c r="K83" i="3"/>
  <c r="J83" i="3"/>
  <c r="I83" i="3"/>
  <c r="H83" i="3"/>
  <c r="G83" i="3"/>
  <c r="F83" i="3"/>
  <c r="E83" i="3"/>
  <c r="D83" i="3"/>
  <c r="C83" i="3"/>
  <c r="B83" i="3"/>
  <c r="AK82" i="3"/>
  <c r="AJ82" i="3"/>
  <c r="AI82" i="3"/>
  <c r="AH82" i="3"/>
  <c r="AG82" i="3"/>
  <c r="AF82" i="3"/>
  <c r="AE82" i="3"/>
  <c r="AD82" i="3"/>
  <c r="AC82" i="3"/>
  <c r="AB82" i="3"/>
  <c r="AA82" i="3"/>
  <c r="Z82" i="3"/>
  <c r="Y82" i="3"/>
  <c r="X82" i="3"/>
  <c r="W82" i="3"/>
  <c r="V82" i="3"/>
  <c r="U82" i="3"/>
  <c r="T82" i="3"/>
  <c r="S82" i="3"/>
  <c r="R82" i="3"/>
  <c r="Q82" i="3"/>
  <c r="P82" i="3"/>
  <c r="O82" i="3"/>
  <c r="N82" i="3"/>
  <c r="M82" i="3"/>
  <c r="L82" i="3"/>
  <c r="K82" i="3"/>
  <c r="J82" i="3"/>
  <c r="I82" i="3"/>
  <c r="H82" i="3"/>
  <c r="G82" i="3"/>
  <c r="F82" i="3"/>
  <c r="E82" i="3"/>
  <c r="D82" i="3"/>
  <c r="C82" i="3"/>
  <c r="B82" i="3"/>
  <c r="AK81" i="3"/>
  <c r="AJ81" i="3"/>
  <c r="AI81" i="3"/>
  <c r="AH81" i="3"/>
  <c r="AG81" i="3"/>
  <c r="AF81" i="3"/>
  <c r="AE81" i="3"/>
  <c r="AD81" i="3"/>
  <c r="AC81" i="3"/>
  <c r="AB81" i="3"/>
  <c r="AA81" i="3"/>
  <c r="Z81" i="3"/>
  <c r="Y81" i="3"/>
  <c r="X81" i="3"/>
  <c r="W81" i="3"/>
  <c r="V81" i="3"/>
  <c r="U81" i="3"/>
  <c r="T81" i="3"/>
  <c r="S81" i="3"/>
  <c r="R81" i="3"/>
  <c r="Q81" i="3"/>
  <c r="P81" i="3"/>
  <c r="O81" i="3"/>
  <c r="N81" i="3"/>
  <c r="M81" i="3"/>
  <c r="L81" i="3"/>
  <c r="K81" i="3"/>
  <c r="J81" i="3"/>
  <c r="I81" i="3"/>
  <c r="H81" i="3"/>
  <c r="G81" i="3"/>
  <c r="F81" i="3"/>
  <c r="E81" i="3"/>
  <c r="D81" i="3"/>
  <c r="C81" i="3"/>
  <c r="B81" i="3"/>
  <c r="AK80" i="3"/>
  <c r="AJ80" i="3"/>
  <c r="AI80" i="3"/>
  <c r="AH80" i="3"/>
  <c r="AG80" i="3"/>
  <c r="AF80" i="3"/>
  <c r="AE80" i="3"/>
  <c r="AD80" i="3"/>
  <c r="AC80" i="3"/>
  <c r="AB80" i="3"/>
  <c r="AA80" i="3"/>
  <c r="Z80" i="3"/>
  <c r="Y80" i="3"/>
  <c r="X80" i="3"/>
  <c r="W80" i="3"/>
  <c r="V80" i="3"/>
  <c r="U80" i="3"/>
  <c r="T80" i="3"/>
  <c r="S80" i="3"/>
  <c r="R80" i="3"/>
  <c r="Q80" i="3"/>
  <c r="P80" i="3"/>
  <c r="O80" i="3"/>
  <c r="N80" i="3"/>
  <c r="M80" i="3"/>
  <c r="L80" i="3"/>
  <c r="K80" i="3"/>
  <c r="J80" i="3"/>
  <c r="I80" i="3"/>
  <c r="H80" i="3"/>
  <c r="G80" i="3"/>
  <c r="F80" i="3"/>
  <c r="E80" i="3"/>
  <c r="D80" i="3"/>
  <c r="C80" i="3"/>
  <c r="B80" i="3"/>
  <c r="AK79" i="3"/>
  <c r="AJ79" i="3"/>
  <c r="AI79" i="3"/>
  <c r="AH79" i="3"/>
  <c r="AG79" i="3"/>
  <c r="AF79" i="3"/>
  <c r="AE79" i="3"/>
  <c r="AD79" i="3"/>
  <c r="AC79" i="3"/>
  <c r="AB79" i="3"/>
  <c r="AA79" i="3"/>
  <c r="Z79" i="3"/>
  <c r="Y79" i="3"/>
  <c r="X79" i="3"/>
  <c r="W79" i="3"/>
  <c r="V79" i="3"/>
  <c r="U79" i="3"/>
  <c r="T79" i="3"/>
  <c r="S79" i="3"/>
  <c r="R79" i="3"/>
  <c r="Q79" i="3"/>
  <c r="P79" i="3"/>
  <c r="O79" i="3"/>
  <c r="N79" i="3"/>
  <c r="M79" i="3"/>
  <c r="L79" i="3"/>
  <c r="K79" i="3"/>
  <c r="J79" i="3"/>
  <c r="I79" i="3"/>
  <c r="H79" i="3"/>
  <c r="G79" i="3"/>
  <c r="F79" i="3"/>
  <c r="E79" i="3"/>
  <c r="D79" i="3"/>
  <c r="C79" i="3"/>
  <c r="B79" i="3"/>
  <c r="AK78" i="3"/>
  <c r="AJ78" i="3"/>
  <c r="AI78" i="3"/>
  <c r="AH78" i="3"/>
  <c r="AG78" i="3"/>
  <c r="AF78" i="3"/>
  <c r="AE78" i="3"/>
  <c r="AD78" i="3"/>
  <c r="AC78" i="3"/>
  <c r="AB78" i="3"/>
  <c r="AA78" i="3"/>
  <c r="Z78" i="3"/>
  <c r="Y78" i="3"/>
  <c r="X78" i="3"/>
  <c r="W78" i="3"/>
  <c r="V78" i="3"/>
  <c r="U78" i="3"/>
  <c r="T78" i="3"/>
  <c r="S78" i="3"/>
  <c r="R78" i="3"/>
  <c r="Q78" i="3"/>
  <c r="P78" i="3"/>
  <c r="O78" i="3"/>
  <c r="N78" i="3"/>
  <c r="M78" i="3"/>
  <c r="L78" i="3"/>
  <c r="K78" i="3"/>
  <c r="J78" i="3"/>
  <c r="I78" i="3"/>
  <c r="H78" i="3"/>
  <c r="G78" i="3"/>
  <c r="F78" i="3"/>
  <c r="E78" i="3"/>
  <c r="D78" i="3"/>
  <c r="C78" i="3"/>
  <c r="B78" i="3"/>
  <c r="AK77" i="3"/>
  <c r="AJ77" i="3"/>
  <c r="AI77" i="3"/>
  <c r="AH77" i="3"/>
  <c r="AG77" i="3"/>
  <c r="AF77" i="3"/>
  <c r="AE77" i="3"/>
  <c r="AD77" i="3"/>
  <c r="AC77" i="3"/>
  <c r="AB77" i="3"/>
  <c r="AA77" i="3"/>
  <c r="Z77" i="3"/>
  <c r="Y77" i="3"/>
  <c r="X77" i="3"/>
  <c r="W77" i="3"/>
  <c r="V77" i="3"/>
  <c r="U77" i="3"/>
  <c r="T77" i="3"/>
  <c r="S77" i="3"/>
  <c r="R77" i="3"/>
  <c r="Q77" i="3"/>
  <c r="P77" i="3"/>
  <c r="O77" i="3"/>
  <c r="N77" i="3"/>
  <c r="M77" i="3"/>
  <c r="L77" i="3"/>
  <c r="K77" i="3"/>
  <c r="J77" i="3"/>
  <c r="I77" i="3"/>
  <c r="H77" i="3"/>
  <c r="G77" i="3"/>
  <c r="F77" i="3"/>
  <c r="E77" i="3"/>
  <c r="D77" i="3"/>
  <c r="C77" i="3"/>
  <c r="B77" i="3"/>
  <c r="AK76" i="3"/>
  <c r="AJ76" i="3"/>
  <c r="AI76" i="3"/>
  <c r="AH76" i="3"/>
  <c r="AG76" i="3"/>
  <c r="AF76" i="3"/>
  <c r="AE76" i="3"/>
  <c r="AD76" i="3"/>
  <c r="AC76" i="3"/>
  <c r="AB76" i="3"/>
  <c r="AA76" i="3"/>
  <c r="Z76" i="3"/>
  <c r="Y76" i="3"/>
  <c r="X76" i="3"/>
  <c r="W76" i="3"/>
  <c r="V76" i="3"/>
  <c r="U76" i="3"/>
  <c r="T76" i="3"/>
  <c r="S76" i="3"/>
  <c r="R76" i="3"/>
  <c r="Q76" i="3"/>
  <c r="P76" i="3"/>
  <c r="O76" i="3"/>
  <c r="N76" i="3"/>
  <c r="M76" i="3"/>
  <c r="L76" i="3"/>
  <c r="K76" i="3"/>
  <c r="J76" i="3"/>
  <c r="I76" i="3"/>
  <c r="H76" i="3"/>
  <c r="G76" i="3"/>
  <c r="F76" i="3"/>
  <c r="E76" i="3"/>
  <c r="D76" i="3"/>
  <c r="C76" i="3"/>
  <c r="B76"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J75" i="3"/>
  <c r="I75" i="3"/>
  <c r="H75" i="3"/>
  <c r="G75" i="3"/>
  <c r="F75" i="3"/>
  <c r="E75" i="3"/>
  <c r="D75" i="3"/>
  <c r="C75" i="3"/>
  <c r="B75"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J74" i="3"/>
  <c r="I74" i="3"/>
  <c r="H74" i="3"/>
  <c r="G74" i="3"/>
  <c r="F74" i="3"/>
  <c r="E74" i="3"/>
  <c r="D74" i="3"/>
  <c r="C74" i="3"/>
  <c r="B74" i="3"/>
  <c r="AK73" i="3"/>
  <c r="AJ73" i="3"/>
  <c r="AI73" i="3"/>
  <c r="AH73" i="3"/>
  <c r="AG73" i="3"/>
  <c r="AF73" i="3"/>
  <c r="AE73" i="3"/>
  <c r="AD73" i="3"/>
  <c r="AC73" i="3"/>
  <c r="AB73" i="3"/>
  <c r="AA73" i="3"/>
  <c r="Z73" i="3"/>
  <c r="Y73" i="3"/>
  <c r="X73" i="3"/>
  <c r="W73" i="3"/>
  <c r="V73" i="3"/>
  <c r="U73" i="3"/>
  <c r="T73" i="3"/>
  <c r="S73" i="3"/>
  <c r="R73" i="3"/>
  <c r="Q73" i="3"/>
  <c r="P73" i="3"/>
  <c r="O73" i="3"/>
  <c r="N73" i="3"/>
  <c r="M73" i="3"/>
  <c r="L73" i="3"/>
  <c r="K73" i="3"/>
  <c r="J73" i="3"/>
  <c r="I73" i="3"/>
  <c r="H73" i="3"/>
  <c r="G73" i="3"/>
  <c r="F73" i="3"/>
  <c r="E73" i="3"/>
  <c r="D73" i="3"/>
  <c r="C73" i="3"/>
  <c r="B73" i="3"/>
  <c r="AK72" i="3"/>
  <c r="AJ72" i="3"/>
  <c r="AI72" i="3"/>
  <c r="AH72" i="3"/>
  <c r="AG72" i="3"/>
  <c r="AF72" i="3"/>
  <c r="AE72" i="3"/>
  <c r="AD72" i="3"/>
  <c r="AC72" i="3"/>
  <c r="AB72" i="3"/>
  <c r="AA72" i="3"/>
  <c r="Z72" i="3"/>
  <c r="Y72" i="3"/>
  <c r="X72" i="3"/>
  <c r="W72" i="3"/>
  <c r="V72" i="3"/>
  <c r="U72" i="3"/>
  <c r="T72" i="3"/>
  <c r="S72" i="3"/>
  <c r="R72" i="3"/>
  <c r="Q72" i="3"/>
  <c r="P72" i="3"/>
  <c r="O72" i="3"/>
  <c r="N72" i="3"/>
  <c r="M72" i="3"/>
  <c r="L72" i="3"/>
  <c r="K72" i="3"/>
  <c r="J72" i="3"/>
  <c r="I72" i="3"/>
  <c r="H72" i="3"/>
  <c r="G72" i="3"/>
  <c r="F72" i="3"/>
  <c r="E72" i="3"/>
  <c r="D72" i="3"/>
  <c r="C72" i="3"/>
  <c r="B72" i="3"/>
  <c r="AK71" i="3"/>
  <c r="AJ71" i="3"/>
  <c r="AI71" i="3"/>
  <c r="AH71" i="3"/>
  <c r="AG71" i="3"/>
  <c r="AF71" i="3"/>
  <c r="AE71" i="3"/>
  <c r="AD71" i="3"/>
  <c r="AC71" i="3"/>
  <c r="AB71" i="3"/>
  <c r="AA71" i="3"/>
  <c r="Z71" i="3"/>
  <c r="Y71" i="3"/>
  <c r="X71" i="3"/>
  <c r="W71" i="3"/>
  <c r="V71" i="3"/>
  <c r="U71" i="3"/>
  <c r="T71" i="3"/>
  <c r="S71" i="3"/>
  <c r="R71" i="3"/>
  <c r="Q71" i="3"/>
  <c r="P71" i="3"/>
  <c r="O71" i="3"/>
  <c r="N71" i="3"/>
  <c r="M71" i="3"/>
  <c r="L71" i="3"/>
  <c r="K71" i="3"/>
  <c r="J71" i="3"/>
  <c r="I71" i="3"/>
  <c r="H71" i="3"/>
  <c r="G71" i="3"/>
  <c r="F71" i="3"/>
  <c r="E71" i="3"/>
  <c r="D71" i="3"/>
  <c r="C71" i="3"/>
  <c r="B71" i="3"/>
  <c r="AK70" i="3"/>
  <c r="AJ70" i="3"/>
  <c r="AI70" i="3"/>
  <c r="AH70" i="3"/>
  <c r="AG70" i="3"/>
  <c r="AF70" i="3"/>
  <c r="AE70" i="3"/>
  <c r="AD70" i="3"/>
  <c r="AC70" i="3"/>
  <c r="AB70" i="3"/>
  <c r="AA70" i="3"/>
  <c r="Z70" i="3"/>
  <c r="Y70" i="3"/>
  <c r="X70" i="3"/>
  <c r="W70" i="3"/>
  <c r="V70" i="3"/>
  <c r="U70" i="3"/>
  <c r="T70" i="3"/>
  <c r="S70" i="3"/>
  <c r="R70" i="3"/>
  <c r="Q70" i="3"/>
  <c r="P70" i="3"/>
  <c r="O70" i="3"/>
  <c r="N70" i="3"/>
  <c r="M70" i="3"/>
  <c r="L70" i="3"/>
  <c r="K70" i="3"/>
  <c r="J70" i="3"/>
  <c r="I70" i="3"/>
  <c r="H70" i="3"/>
  <c r="G70" i="3"/>
  <c r="F70" i="3"/>
  <c r="E70" i="3"/>
  <c r="D70" i="3"/>
  <c r="C70" i="3"/>
  <c r="B70"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J69" i="3"/>
  <c r="I69" i="3"/>
  <c r="H69" i="3"/>
  <c r="G69" i="3"/>
  <c r="F69" i="3"/>
  <c r="E69" i="3"/>
  <c r="D69" i="3"/>
  <c r="C69" i="3"/>
  <c r="B69" i="3"/>
  <c r="AK68" i="3"/>
  <c r="AJ68" i="3"/>
  <c r="AI68" i="3"/>
  <c r="AH68" i="3"/>
  <c r="AG68" i="3"/>
  <c r="AF68" i="3"/>
  <c r="AE68" i="3"/>
  <c r="AD68" i="3"/>
  <c r="AC68" i="3"/>
  <c r="AB68" i="3"/>
  <c r="AA68" i="3"/>
  <c r="Z68" i="3"/>
  <c r="Y68" i="3"/>
  <c r="X68" i="3"/>
  <c r="W68" i="3"/>
  <c r="V68" i="3"/>
  <c r="U68" i="3"/>
  <c r="T68" i="3"/>
  <c r="S68" i="3"/>
  <c r="R68" i="3"/>
  <c r="Q68" i="3"/>
  <c r="P68" i="3"/>
  <c r="O68" i="3"/>
  <c r="N68" i="3"/>
  <c r="M68" i="3"/>
  <c r="L68" i="3"/>
  <c r="K68" i="3"/>
  <c r="J68" i="3"/>
  <c r="I68" i="3"/>
  <c r="H68" i="3"/>
  <c r="G68" i="3"/>
  <c r="F68" i="3"/>
  <c r="E68" i="3"/>
  <c r="D68" i="3"/>
  <c r="C68" i="3"/>
  <c r="B68" i="3"/>
  <c r="AK67" i="3"/>
  <c r="AJ67" i="3"/>
  <c r="AI67" i="3"/>
  <c r="AH67" i="3"/>
  <c r="AG67" i="3"/>
  <c r="AF67" i="3"/>
  <c r="AE67" i="3"/>
  <c r="AD67" i="3"/>
  <c r="AC67" i="3"/>
  <c r="AB67" i="3"/>
  <c r="AA67" i="3"/>
  <c r="Z67" i="3"/>
  <c r="Y67" i="3"/>
  <c r="X67" i="3"/>
  <c r="W67" i="3"/>
  <c r="V67" i="3"/>
  <c r="U67" i="3"/>
  <c r="T67" i="3"/>
  <c r="S67" i="3"/>
  <c r="R67" i="3"/>
  <c r="Q67" i="3"/>
  <c r="P67" i="3"/>
  <c r="O67" i="3"/>
  <c r="N67" i="3"/>
  <c r="M67" i="3"/>
  <c r="L67" i="3"/>
  <c r="K67" i="3"/>
  <c r="J67" i="3"/>
  <c r="I67" i="3"/>
  <c r="H67" i="3"/>
  <c r="G67" i="3"/>
  <c r="F67" i="3"/>
  <c r="E67" i="3"/>
  <c r="D67" i="3"/>
  <c r="C67" i="3"/>
  <c r="B67" i="3"/>
  <c r="AK66" i="3"/>
  <c r="AJ66" i="3"/>
  <c r="AI66" i="3"/>
  <c r="AH66" i="3"/>
  <c r="AG66" i="3"/>
  <c r="AF66" i="3"/>
  <c r="AE66" i="3"/>
  <c r="AD66" i="3"/>
  <c r="AC66" i="3"/>
  <c r="AB66" i="3"/>
  <c r="AA66" i="3"/>
  <c r="Z66" i="3"/>
  <c r="Y66" i="3"/>
  <c r="X66" i="3"/>
  <c r="W66" i="3"/>
  <c r="V66" i="3"/>
  <c r="U66" i="3"/>
  <c r="T66" i="3"/>
  <c r="S66" i="3"/>
  <c r="R66" i="3"/>
  <c r="Q66" i="3"/>
  <c r="P66" i="3"/>
  <c r="O66" i="3"/>
  <c r="N66" i="3"/>
  <c r="M66" i="3"/>
  <c r="L66" i="3"/>
  <c r="K66" i="3"/>
  <c r="J66" i="3"/>
  <c r="I66" i="3"/>
  <c r="H66" i="3"/>
  <c r="G66" i="3"/>
  <c r="F66" i="3"/>
  <c r="E66" i="3"/>
  <c r="D66" i="3"/>
  <c r="C66" i="3"/>
  <c r="B66" i="3"/>
  <c r="AK65" i="3"/>
  <c r="AJ65" i="3"/>
  <c r="AI65" i="3"/>
  <c r="AH65" i="3"/>
  <c r="AG65" i="3"/>
  <c r="AF65" i="3"/>
  <c r="AE65" i="3"/>
  <c r="AD65" i="3"/>
  <c r="AC65" i="3"/>
  <c r="AB65" i="3"/>
  <c r="AA65" i="3"/>
  <c r="Z65" i="3"/>
  <c r="Y65" i="3"/>
  <c r="X65" i="3"/>
  <c r="W65" i="3"/>
  <c r="V65" i="3"/>
  <c r="U65" i="3"/>
  <c r="T65" i="3"/>
  <c r="S65" i="3"/>
  <c r="R65" i="3"/>
  <c r="Q65" i="3"/>
  <c r="P65" i="3"/>
  <c r="O65" i="3"/>
  <c r="N65" i="3"/>
  <c r="M65" i="3"/>
  <c r="L65" i="3"/>
  <c r="K65" i="3"/>
  <c r="J65" i="3"/>
  <c r="I65" i="3"/>
  <c r="H65" i="3"/>
  <c r="G65" i="3"/>
  <c r="F65" i="3"/>
  <c r="E65" i="3"/>
  <c r="D65" i="3"/>
  <c r="C65" i="3"/>
  <c r="B65" i="3"/>
  <c r="AK64" i="3"/>
  <c r="AJ64" i="3"/>
  <c r="AI64" i="3"/>
  <c r="AH64" i="3"/>
  <c r="AG64" i="3"/>
  <c r="AF64" i="3"/>
  <c r="AE64" i="3"/>
  <c r="AD64" i="3"/>
  <c r="AC64" i="3"/>
  <c r="AB64" i="3"/>
  <c r="AA64" i="3"/>
  <c r="Z64" i="3"/>
  <c r="Y64" i="3"/>
  <c r="X64" i="3"/>
  <c r="W64" i="3"/>
  <c r="V64" i="3"/>
  <c r="U64" i="3"/>
  <c r="T64" i="3"/>
  <c r="S64" i="3"/>
  <c r="R64" i="3"/>
  <c r="Q64" i="3"/>
  <c r="P64" i="3"/>
  <c r="O64" i="3"/>
  <c r="N64" i="3"/>
  <c r="M64" i="3"/>
  <c r="L64" i="3"/>
  <c r="K64" i="3"/>
  <c r="J64" i="3"/>
  <c r="I64" i="3"/>
  <c r="H64" i="3"/>
  <c r="G64" i="3"/>
  <c r="F64" i="3"/>
  <c r="E64" i="3"/>
  <c r="D64" i="3"/>
  <c r="C64" i="3"/>
  <c r="B64" i="3"/>
  <c r="AK63" i="3"/>
  <c r="AJ63" i="3"/>
  <c r="AI63" i="3"/>
  <c r="AH63" i="3"/>
  <c r="AG63" i="3"/>
  <c r="AF63" i="3"/>
  <c r="AE63" i="3"/>
  <c r="AD63" i="3"/>
  <c r="AC63" i="3"/>
  <c r="AB63" i="3"/>
  <c r="AA63" i="3"/>
  <c r="Z63" i="3"/>
  <c r="Y63" i="3"/>
  <c r="X63" i="3"/>
  <c r="W63" i="3"/>
  <c r="V63" i="3"/>
  <c r="U63" i="3"/>
  <c r="T63" i="3"/>
  <c r="S63" i="3"/>
  <c r="R63" i="3"/>
  <c r="Q63" i="3"/>
  <c r="P63" i="3"/>
  <c r="O63" i="3"/>
  <c r="N63" i="3"/>
  <c r="M63" i="3"/>
  <c r="L63" i="3"/>
  <c r="K63" i="3"/>
  <c r="J63" i="3"/>
  <c r="I63" i="3"/>
  <c r="H63" i="3"/>
  <c r="G63" i="3"/>
  <c r="F63" i="3"/>
  <c r="E63" i="3"/>
  <c r="D63" i="3"/>
  <c r="C63" i="3"/>
  <c r="B63"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D62" i="3"/>
  <c r="C62" i="3"/>
  <c r="B62" i="3"/>
  <c r="AK61" i="3"/>
  <c r="AJ61" i="3"/>
  <c r="AI61" i="3"/>
  <c r="AH61" i="3"/>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D61" i="3"/>
  <c r="C61" i="3"/>
  <c r="B61"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C60" i="3"/>
  <c r="B60" i="3"/>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D59" i="3"/>
  <c r="C59" i="3"/>
  <c r="B59"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D58" i="3"/>
  <c r="C58" i="3"/>
  <c r="B58" i="3"/>
  <c r="AK57" i="3"/>
  <c r="AJ57" i="3"/>
  <c r="AI57" i="3"/>
  <c r="AH57" i="3"/>
  <c r="AG57" i="3"/>
  <c r="AF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D57" i="3"/>
  <c r="C57" i="3"/>
  <c r="B57" i="3"/>
  <c r="AK56" i="3"/>
  <c r="AJ56" i="3"/>
  <c r="AI56" i="3"/>
  <c r="AH56" i="3"/>
  <c r="AG56" i="3"/>
  <c r="AF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D56" i="3"/>
  <c r="C56" i="3"/>
  <c r="B56" i="3"/>
  <c r="AK55" i="3"/>
  <c r="AJ55" i="3"/>
  <c r="AI55" i="3"/>
  <c r="AH55" i="3"/>
  <c r="AG55" i="3"/>
  <c r="AF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D55" i="3"/>
  <c r="C55" i="3"/>
  <c r="B55"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B54"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C53" i="3"/>
  <c r="B53"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 r="C52" i="3"/>
  <c r="B52"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C51" i="3"/>
  <c r="B51"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C50" i="3"/>
  <c r="B50"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C49" i="3"/>
  <c r="B49"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C48" i="3"/>
  <c r="B48"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C47" i="3"/>
  <c r="B47"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C46" i="3"/>
  <c r="B46"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B45" i="3"/>
  <c r="AK44" i="3"/>
  <c r="AJ44" i="3"/>
  <c r="AI44" i="3"/>
  <c r="AH44" i="3"/>
  <c r="AG44" i="3"/>
  <c r="AF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D44" i="3"/>
  <c r="C44" i="3"/>
  <c r="B44" i="3"/>
  <c r="AK43" i="3"/>
  <c r="AJ43" i="3"/>
  <c r="AI43" i="3"/>
  <c r="AH43" i="3"/>
  <c r="AG43" i="3"/>
  <c r="AF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D43" i="3"/>
  <c r="C43" i="3"/>
  <c r="B43"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B42"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B41"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D40" i="3"/>
  <c r="C40" i="3"/>
  <c r="B40"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C39" i="3"/>
  <c r="B39"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B38"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D37" i="3"/>
  <c r="C37" i="3"/>
  <c r="B37"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D36" i="3"/>
  <c r="C36" i="3"/>
  <c r="B36" i="3"/>
  <c r="AK35" i="3"/>
  <c r="AJ35" i="3"/>
  <c r="AI35" i="3"/>
  <c r="AH35" i="3"/>
  <c r="AG35" i="3"/>
  <c r="AF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D35" i="3"/>
  <c r="C35" i="3"/>
  <c r="B35" i="3"/>
  <c r="AK34" i="3"/>
  <c r="AJ34" i="3"/>
  <c r="AI34" i="3"/>
  <c r="AH34"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C34" i="3"/>
  <c r="B34"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B33"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B32"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B31"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B30"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B29"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B28"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B27" i="3"/>
  <c r="AK26" i="3"/>
  <c r="AJ26" i="3"/>
  <c r="AI26" i="3"/>
  <c r="AH26" i="3"/>
  <c r="AG26" i="3"/>
  <c r="AF26" i="3"/>
  <c r="AE26" i="3"/>
  <c r="AD26" i="3"/>
  <c r="AC26" i="3"/>
  <c r="AB26" i="3"/>
  <c r="AA26" i="3"/>
  <c r="Z26" i="3"/>
  <c r="Y26" i="3"/>
  <c r="X26" i="3"/>
  <c r="W26" i="3"/>
  <c r="V26" i="3"/>
  <c r="U26" i="3"/>
  <c r="T26" i="3"/>
  <c r="S26" i="3"/>
  <c r="R26" i="3"/>
  <c r="Q26" i="3"/>
  <c r="P26" i="3"/>
  <c r="O26" i="3"/>
  <c r="N26" i="3"/>
  <c r="M26" i="3"/>
  <c r="L26" i="3"/>
  <c r="K26" i="3"/>
  <c r="J26" i="3"/>
  <c r="I26" i="3"/>
  <c r="H26" i="3"/>
  <c r="G26" i="3"/>
  <c r="F26" i="3"/>
  <c r="E26" i="3"/>
  <c r="D26" i="3"/>
  <c r="C26" i="3"/>
  <c r="B26"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B25"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B24"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B23"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D22" i="3"/>
  <c r="C22" i="3"/>
  <c r="B22"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D21" i="3"/>
  <c r="C21" i="3"/>
  <c r="B21"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D20" i="3"/>
  <c r="C20" i="3"/>
  <c r="B20"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B19" i="3"/>
</calcChain>
</file>

<file path=xl/connections.xml><?xml version="1.0" encoding="utf-8"?>
<connections xmlns="http://schemas.openxmlformats.org/spreadsheetml/2006/main">
  <connection id="1" name="PositionsExtract" type="1" refreshedVersion="8" minRefreshableVersion="3" background="1" saveData="1" description="Client positions at day-end, current month and prior">
    <dbPr connection="ODBC;DSN=FinanceWarehouse;Description=Finance Warehouse (PROD);UID=svc_finread;Trusted_Connection=Yes;APP=Microsoft Office 2016;WSID=LDN-FIN-118;DATABASE=FinanceWarehouse" command="SELECT&#10;       p.client_code,&#10;       p.client_name,&#10;       p.as_of_date,&#10;       p.period_month,&#10;       p.mandate,&#10;       p.market_value_gbp&#10;  FROM fin.positions p&#10;  JOIN fin.mandates m&#10;    ON m.client_code = p.client_code&#10; WHERE p.period_month IN ('2026-10', '2026-11')&#10;   AND p.status &lt;&gt; 'CLOSED'&#10; ORDER BY p.client_code, p.as_of_date" commandType="2"/>
  </connection>
</connections>
</file>

<file path=xl/sharedStrings.xml><?xml version="1.0" encoding="utf-8"?>
<sst xmlns="http://schemas.openxmlformats.org/spreadsheetml/2006/main" count="1697" uniqueCount="308">
  <si>
    <t>Positions extract -- run this against the warehouse, paste below</t>
  </si>
  <si>
    <t>SELECT</t>
  </si>
  <si>
    <t xml:space="preserve">       p.client_code,</t>
  </si>
  <si>
    <t xml:space="preserve">       p.client_name,</t>
  </si>
  <si>
    <t xml:space="preserve">       p.as_of_date,</t>
  </si>
  <si>
    <t xml:space="preserve">       p.period_month,</t>
  </si>
  <si>
    <t xml:space="preserve">       p.mandate,</t>
  </si>
  <si>
    <t xml:space="preserve">       p.market_value_gbp</t>
  </si>
  <si>
    <t xml:space="preserve">  FROM fin.positions p</t>
  </si>
  <si>
    <t xml:space="preserve">  JOIN fin.mandates m</t>
  </si>
  <si>
    <t xml:space="preserve">    ON m.client_code = p.client_code</t>
  </si>
  <si>
    <t xml:space="preserve"> WHERE p.period_month IN ('2026-10', '2026-11')</t>
  </si>
  <si>
    <t xml:space="preserve">   AND p.status &lt;&gt; 'CLOSED'</t>
  </si>
  <si>
    <t xml:space="preserve"> ORDER BY p.client_code, p.as_of_date</t>
  </si>
  <si>
    <t>client_code</t>
  </si>
  <si>
    <t>client_name</t>
  </si>
  <si>
    <t>as_of_date</t>
  </si>
  <si>
    <t>period_month</t>
  </si>
  <si>
    <t>mandate</t>
  </si>
  <si>
    <t>market_value_gbp</t>
  </si>
  <si>
    <t>00001</t>
  </si>
  <si>
    <t>Client 001 Holdings</t>
  </si>
  <si>
    <t>2026-10</t>
  </si>
  <si>
    <t>balanced</t>
  </si>
  <si>
    <t>2026-11</t>
  </si>
  <si>
    <t>00002</t>
  </si>
  <si>
    <t>Client 002 Holdings</t>
  </si>
  <si>
    <t>equity</t>
  </si>
  <si>
    <t>00003</t>
  </si>
  <si>
    <t>Client 003 Holdings</t>
  </si>
  <si>
    <t>fixed income</t>
  </si>
  <si>
    <t>00004</t>
  </si>
  <si>
    <t>Client 004 Holdings</t>
  </si>
  <si>
    <t>00005</t>
  </si>
  <si>
    <t>Client 005 Holdings</t>
  </si>
  <si>
    <t>00006</t>
  </si>
  <si>
    <t>Client 006 Holdings</t>
  </si>
  <si>
    <t>00007</t>
  </si>
  <si>
    <t>Client 007 Holdings</t>
  </si>
  <si>
    <t>00008</t>
  </si>
  <si>
    <t>Client 008 Holdings</t>
  </si>
  <si>
    <t>00009</t>
  </si>
  <si>
    <t>Client 009 Holdings</t>
  </si>
  <si>
    <t>00010</t>
  </si>
  <si>
    <t>Client 010 Holdings</t>
  </si>
  <si>
    <t>00011</t>
  </si>
  <si>
    <t>Client 011 Holdings</t>
  </si>
  <si>
    <t>00012</t>
  </si>
  <si>
    <t>Client 012 Holdings</t>
  </si>
  <si>
    <t>00013</t>
  </si>
  <si>
    <t>Client 013 Holdings</t>
  </si>
  <si>
    <t>00014</t>
  </si>
  <si>
    <t>Client 014 Holdings</t>
  </si>
  <si>
    <t>00015</t>
  </si>
  <si>
    <t>Client 015 Holdings</t>
  </si>
  <si>
    <t>00016</t>
  </si>
  <si>
    <t>Client 016 Holdings</t>
  </si>
  <si>
    <t>00017</t>
  </si>
  <si>
    <t>Client 017 Holdings</t>
  </si>
  <si>
    <t>00018</t>
  </si>
  <si>
    <t>Client 018 Holdings</t>
  </si>
  <si>
    <t>00019</t>
  </si>
  <si>
    <t>Client 019 Holdings</t>
  </si>
  <si>
    <t>00020</t>
  </si>
  <si>
    <t>Client 020 Holdings</t>
  </si>
  <si>
    <t>00021</t>
  </si>
  <si>
    <t>Client 021 Holdings</t>
  </si>
  <si>
    <t>00022</t>
  </si>
  <si>
    <t>Client 022 Holdings</t>
  </si>
  <si>
    <t>00023</t>
  </si>
  <si>
    <t>Client 023 Holdings</t>
  </si>
  <si>
    <t>00024</t>
  </si>
  <si>
    <t>Client 024 Holdings</t>
  </si>
  <si>
    <t>00025</t>
  </si>
  <si>
    <t>Client 025 Holdings</t>
  </si>
  <si>
    <t>00026</t>
  </si>
  <si>
    <t>Client 026 Holdings</t>
  </si>
  <si>
    <t>00027</t>
  </si>
  <si>
    <t>Client 027 Holdings</t>
  </si>
  <si>
    <t>00028</t>
  </si>
  <si>
    <t>Client 028 Holdings</t>
  </si>
  <si>
    <t>00029</t>
  </si>
  <si>
    <t>Client 029 Holdings</t>
  </si>
  <si>
    <t>00030</t>
  </si>
  <si>
    <t>Client 030 Holdings</t>
  </si>
  <si>
    <t>00031</t>
  </si>
  <si>
    <t>Client 031 Holdings</t>
  </si>
  <si>
    <t>00032</t>
  </si>
  <si>
    <t>Client 032 Holdings</t>
  </si>
  <si>
    <t>00033</t>
  </si>
  <si>
    <t>Client 033 Holdings</t>
  </si>
  <si>
    <t>00034</t>
  </si>
  <si>
    <t>Client 034 Holdings</t>
  </si>
  <si>
    <t>00035</t>
  </si>
  <si>
    <t>Client 035 Holdings</t>
  </si>
  <si>
    <t>00036</t>
  </si>
  <si>
    <t>Client 036 Holdings</t>
  </si>
  <si>
    <t>00037</t>
  </si>
  <si>
    <t>Client 037 Holdings</t>
  </si>
  <si>
    <t>00038</t>
  </si>
  <si>
    <t>Client 038 Holdings</t>
  </si>
  <si>
    <t>00039</t>
  </si>
  <si>
    <t>Client 039 Holdings</t>
  </si>
  <si>
    <t>00040</t>
  </si>
  <si>
    <t>Client 040 Holdings</t>
  </si>
  <si>
    <t>00041</t>
  </si>
  <si>
    <t>O'Hanlon &amp; Reid Nominees</t>
  </si>
  <si>
    <t>00042</t>
  </si>
  <si>
    <t>Client 042 Holdings</t>
  </si>
  <si>
    <t>00043</t>
  </si>
  <si>
    <t>Client 043 Holdings</t>
  </si>
  <si>
    <t>00044</t>
  </si>
  <si>
    <t>Client 044 Holdings</t>
  </si>
  <si>
    <t>00045</t>
  </si>
  <si>
    <t>Client 045 Holdings</t>
  </si>
  <si>
    <t>00046</t>
  </si>
  <si>
    <t>Client 046 Holdings</t>
  </si>
  <si>
    <t>00047</t>
  </si>
  <si>
    <t>Client 047 Holdings</t>
  </si>
  <si>
    <t>00048</t>
  </si>
  <si>
    <t>Client 048 Holdings</t>
  </si>
  <si>
    <t>00049</t>
  </si>
  <si>
    <t>Client 049 Holdings</t>
  </si>
  <si>
    <t>00050</t>
  </si>
  <si>
    <t>Client 050 Holdings</t>
  </si>
  <si>
    <t>00051</t>
  </si>
  <si>
    <t>Client 051 Holdings</t>
  </si>
  <si>
    <t>00052</t>
  </si>
  <si>
    <t>Client 052 Holdings</t>
  </si>
  <si>
    <t>00053</t>
  </si>
  <si>
    <t>Client 053 Holdings</t>
  </si>
  <si>
    <t>00054</t>
  </si>
  <si>
    <t>Client 054 Holdings</t>
  </si>
  <si>
    <t>00055</t>
  </si>
  <si>
    <t>Client 055 Holdings</t>
  </si>
  <si>
    <t>00056</t>
  </si>
  <si>
    <t>Client 056 Holdings</t>
  </si>
  <si>
    <t>00057</t>
  </si>
  <si>
    <t>Client 057 Holdings</t>
  </si>
  <si>
    <t>00058</t>
  </si>
  <si>
    <t>Client 058 Holdings</t>
  </si>
  <si>
    <t>00059</t>
  </si>
  <si>
    <t>Client 059 Holdings</t>
  </si>
  <si>
    <t>00060</t>
  </si>
  <si>
    <t>Client 060 Holdings</t>
  </si>
  <si>
    <t>00061</t>
  </si>
  <si>
    <t>Client 061 Holdings</t>
  </si>
  <si>
    <t>00062</t>
  </si>
  <si>
    <t>Client 062 Holdings</t>
  </si>
  <si>
    <t>00063</t>
  </si>
  <si>
    <t>Client 063 Holdings</t>
  </si>
  <si>
    <t>00064</t>
  </si>
  <si>
    <t>Client 064 Holdings</t>
  </si>
  <si>
    <t>00065</t>
  </si>
  <si>
    <t>Client 065 Holdings</t>
  </si>
  <si>
    <t>00066</t>
  </si>
  <si>
    <t>Client 066 Holdings</t>
  </si>
  <si>
    <t>00067</t>
  </si>
  <si>
    <t>Client 067 Holdings</t>
  </si>
  <si>
    <t>00068</t>
  </si>
  <si>
    <t>Client 068 Holdings</t>
  </si>
  <si>
    <t>00069</t>
  </si>
  <si>
    <t>Client 069 Holdings</t>
  </si>
  <si>
    <t>00070</t>
  </si>
  <si>
    <t>Client 070 Holdings</t>
  </si>
  <si>
    <t>00071</t>
  </si>
  <si>
    <t>Client 071 Holdings</t>
  </si>
  <si>
    <t>00072</t>
  </si>
  <si>
    <t>Client 072 Holdings</t>
  </si>
  <si>
    <t>00073</t>
  </si>
  <si>
    <t>Client 073 Holdings</t>
  </si>
  <si>
    <t>00074</t>
  </si>
  <si>
    <t>Client 074 Holdings</t>
  </si>
  <si>
    <t>00075</t>
  </si>
  <si>
    <t>Client 075 Holdings</t>
  </si>
  <si>
    <t>00076</t>
  </si>
  <si>
    <t>Client 076 Holdings</t>
  </si>
  <si>
    <t>00077</t>
  </si>
  <si>
    <t>Client 077 Holdings</t>
  </si>
  <si>
    <t>00078</t>
  </si>
  <si>
    <t>Client 078 Holdings</t>
  </si>
  <si>
    <t>00079</t>
  </si>
  <si>
    <t>Client 079 Holdings</t>
  </si>
  <si>
    <t>00080</t>
  </si>
  <si>
    <t>Client 080 Holdings</t>
  </si>
  <si>
    <t>00081</t>
  </si>
  <si>
    <t>Client 081 Holdings</t>
  </si>
  <si>
    <t>00082</t>
  </si>
  <si>
    <t>Client 082 Holdings</t>
  </si>
  <si>
    <t>00083</t>
  </si>
  <si>
    <t>Client 083 Holdings</t>
  </si>
  <si>
    <t>00084</t>
  </si>
  <si>
    <t>Client 084 Holdings</t>
  </si>
  <si>
    <t>Fee schedule -- from Client Onboarding, effective 2026-11-01</t>
  </si>
  <si>
    <t>Do not edit. Superseded schedules are kept on the shared drive.</t>
  </si>
  <si>
    <t>Minimum fee</t>
  </si>
  <si>
    <t>negotiated_bps</t>
  </si>
  <si>
    <t>band_floor</t>
  </si>
  <si>
    <t>band_ceiling</t>
  </si>
  <si>
    <t>band_bps</t>
  </si>
  <si>
    <t>Maximum fee</t>
  </si>
  <si>
    <t>20.0</t>
  </si>
  <si>
    <t>Standard discount</t>
  </si>
  <si>
    <t>27.5</t>
  </si>
  <si>
    <t>21.5</t>
  </si>
  <si>
    <t>29.0</t>
  </si>
  <si>
    <t>23.0</t>
  </si>
  <si>
    <t>30.5</t>
  </si>
  <si>
    <t>24.5</t>
  </si>
  <si>
    <t>32.0</t>
  </si>
  <si>
    <t>26.0</t>
  </si>
  <si>
    <t>Management fee working -- November 2026</t>
  </si>
  <si>
    <t>Period</t>
  </si>
  <si>
    <t>Prepared by</t>
  </si>
  <si>
    <t>Billing Operations</t>
  </si>
  <si>
    <t>2024 flat rate (bps)</t>
  </si>
  <si>
    <t>2024 adjustment factor</t>
  </si>
  <si>
    <t>Client</t>
  </si>
  <si>
    <t>Name</t>
  </si>
  <si>
    <t>On b'd</t>
  </si>
  <si>
    <t>Bill from</t>
  </si>
  <si>
    <t>Mth</t>
  </si>
  <si>
    <t>Nov-26 avg AUM</t>
  </si>
  <si>
    <t>Prior mth close</t>
  </si>
  <si>
    <t>Opening bal.</t>
  </si>
  <si>
    <t>Tier (bps)</t>
  </si>
  <si>
    <t>Tier bps</t>
  </si>
  <si>
    <t>Entity</t>
  </si>
  <si>
    <t>C/C</t>
  </si>
  <si>
    <t>Fee @ tier</t>
  </si>
  <si>
    <t>Days in mth</t>
  </si>
  <si>
    <t>Days b'ld</t>
  </si>
  <si>
    <t>Fee (p/r)</t>
  </si>
  <si>
    <t>Fee after min</t>
  </si>
  <si>
    <t>Fee after max</t>
  </si>
  <si>
    <t>Disc'nt</t>
  </si>
  <si>
    <t>Adj'd fee (net)</t>
  </si>
  <si>
    <t>Fee agreed w/ client</t>
  </si>
  <si>
    <t>O/R?</t>
  </si>
  <si>
    <t>Inv. ref</t>
  </si>
  <si>
    <t># posns</t>
  </si>
  <si>
    <t>Running tot.</t>
  </si>
  <si>
    <t>Mandate (clean)</t>
  </si>
  <si>
    <t>AUM in mandate</t>
  </si>
  <si>
    <t>% of mandate</t>
  </si>
  <si>
    <t>AUM chk (Oct &amp; Nov)</t>
  </si>
  <si>
    <t>Band (A/B/C)</t>
  </si>
  <si>
    <t># a/cs</t>
  </si>
  <si>
    <t>Data as at</t>
  </si>
  <si>
    <t>Yr</t>
  </si>
  <si>
    <t>2024 fee</t>
  </si>
  <si>
    <t>2024 adj</t>
  </si>
  <si>
    <t>2024 adj.</t>
  </si>
  <si>
    <t>2024 adj ref</t>
  </si>
  <si>
    <t>TOTAL</t>
  </si>
  <si>
    <t>Calc'd fee</t>
  </si>
  <si>
    <t>Agreed fee (GBP)</t>
  </si>
  <si>
    <t>Reason</t>
  </si>
  <si>
    <t>Agreed on</t>
  </si>
  <si>
    <t>Agreed by</t>
  </si>
  <si>
    <t>Fee waived for Q4 pending the mandate transfer agreed with the client in September.</t>
  </si>
  <si>
    <t>Capped at the 2025 level; the uplift was not communicated before the billing run.</t>
  </si>
  <si>
    <t>Manual correction: two accounts were double-counted in the position extract.</t>
  </si>
  <si>
    <t>legal_entity</t>
  </si>
  <si>
    <t>cost_centre</t>
  </si>
  <si>
    <t>period</t>
  </si>
  <si>
    <t>fee_gbp</t>
  </si>
  <si>
    <t>LuxCo</t>
  </si>
  <si>
    <t>CC-100</t>
  </si>
  <si>
    <t>CC-130</t>
  </si>
  <si>
    <t>LuxCo subtotal</t>
  </si>
  <si>
    <t>UKCo</t>
  </si>
  <si>
    <t>CC-110</t>
  </si>
  <si>
    <t>CC-140</t>
  </si>
  <si>
    <t>UKCo subtotal</t>
  </si>
  <si>
    <t>DubCo</t>
  </si>
  <si>
    <t>CC-120</t>
  </si>
  <si>
    <t>CC-150</t>
  </si>
  <si>
    <t>DubCo subtotal</t>
  </si>
  <si>
    <t>Fee summary by legal entity and cost centre -- November 2026</t>
  </si>
  <si>
    <t>Run these against the ledger once the fee run is approved.</t>
  </si>
  <si>
    <t>SQL to run</t>
  </si>
  <si>
    <t>onboarded</t>
  </si>
  <si>
    <t xml:space="preserve">  balanced </t>
  </si>
  <si>
    <t xml:space="preserve"> fixed income</t>
  </si>
  <si>
    <t>Oct-26 (GBP)</t>
  </si>
  <si>
    <t>Nov-26 (GBP)</t>
  </si>
  <si>
    <t>Var (GBP)</t>
  </si>
  <si>
    <t>Commentary</t>
  </si>
  <si>
    <t>Var %</t>
  </si>
  <si>
    <t>Flag</t>
  </si>
  <si>
    <t>Transfer in from the Geneva book; expected.</t>
  </si>
  <si>
    <t>Two mandates closed in October.</t>
  </si>
  <si>
    <t>Unexplained. Raised with the desk 2026-11-04.</t>
  </si>
  <si>
    <t>Management fee billing run -- sign-off</t>
  </si>
  <si>
    <t>Purpose</t>
  </si>
  <si>
    <t>Calculate the management fee owed by each client for the month, apply the agreed floors, caps and discounts, allocate the result to the legal entity and cost centre that will carry it, and post the invoices to the ledger.</t>
  </si>
  <si>
    <t>Background</t>
  </si>
  <si>
    <t>The tiered schedule replaced a flat 26bps rate in January 2024. The old columns are still in the Working tab because the 2024 comparatives were needed for the audit; nothing reads them now.</t>
  </si>
  <si>
    <t>Known issues</t>
  </si>
  <si>
    <t>The Allocation tab is left on manual calculation because recalculating it over a full extract takes several minutes, so its figures are from before the overrides were agreed and do not match the Working tab. Recalculate before relying on them. Three clients have agreed fees that override the calculation -- see the Overrides tab, and confirm each one still applies before posting.</t>
  </si>
  <si>
    <t>Cadence</t>
  </si>
  <si>
    <t>Monthly, on the third working day, after the position extract has been signed off by Middle Office.</t>
  </si>
  <si>
    <t>Row Labels</t>
  </si>
  <si>
    <t>Grand Total</t>
  </si>
  <si>
    <t>(blank)</t>
  </si>
  <si>
    <t>Column Labels</t>
  </si>
  <si>
    <t>Sum of fee_gbp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</si>
</sst>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name val="Calibri"/>
    </font>
    <font>
      <sz val="9"/>
      <name val="Consolas"/>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horizontal="left"/>
    </xf>
    <xf numFmtId="164" fontId="0" fillId="0" borderId="0" xfId="0" applyNumberFormat="1"/>
    <xf numFmtId="0" fontId="3" fillId="0" borderId="0" xfId="0" applyFont="1"/>
    <xf numFmtId="0" fontId="0" fillId="0" borderId="0" xfId="0" applyAlignment="1">
      <alignmen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ip Harrison" refreshedDate="46255.72666122685" createdVersion="8" refreshedVersion="8" minRefreshableVersion="3" recordCount="87" xr:uid="{5BB1CE08-7651-4ECC-A02D-962F0A038D1B}">
  <cacheSource type="worksheet">
    <worksheetSource ref="A1:E88" sheet="Allocation"/>
  </cacheSource>
  <cacheFields count="5">
    <cacheField name="client_code" numFmtId="0">
      <sharedItems containsBlank="1"/>
    </cacheField>
    <cacheField name="legal_entity" numFmtId="0">
      <sharedItems count="6">
        <s v="LuxCo"/>
        <s v="LuxCo subtotal"/>
        <s v="UKCo"/>
        <s v="UKCo subtotal"/>
        <s v="DubCo"/>
        <s v="DubCo subtotal"/>
      </sharedItems>
    </cacheField>
    <cacheField name="cost_centre" numFmtId="0">
      <sharedItems containsBlank="1" count="7">
        <s v="CC-100"/>
        <s v="CC-130"/>
        <m/>
        <s v="CC-110"/>
        <s v="CC-140"/>
        <s v="CC-120"/>
        <s v="CC-150"/>
      </sharedItems>
    </cacheField>
    <cacheField name="period" numFmtId="0">
      <sharedItems containsBlank="1" count="2">
        <s v="2026-11"/>
        <m/>
      </sharedItems>
    </cacheField>
    <cacheField name="fee_gbp" numFmtId="0">
      <sharedItems containsSemiMixedTypes="0" containsString="0" containsNumber="1" minValue="731.25" maxValue="2843188.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s v="00001"/>
    <x v="0"/>
    <x v="0"/>
    <x v="0"/>
    <n v="22501.03"/>
  </r>
  <r>
    <s v="00004"/>
    <x v="0"/>
    <x v="1"/>
    <x v="0"/>
    <n v="731.25"/>
  </r>
  <r>
    <s v="00007"/>
    <x v="0"/>
    <x v="0"/>
    <x v="0"/>
    <n v="62340.34"/>
  </r>
  <r>
    <s v="00010"/>
    <x v="0"/>
    <x v="1"/>
    <x v="0"/>
    <n v="98960.79"/>
  </r>
  <r>
    <s v="00013"/>
    <x v="0"/>
    <x v="0"/>
    <x v="0"/>
    <n v="36673.07"/>
  </r>
  <r>
    <s v="00016"/>
    <x v="0"/>
    <x v="1"/>
    <x v="0"/>
    <n v="200226.77"/>
  </r>
  <r>
    <s v="00019"/>
    <x v="0"/>
    <x v="0"/>
    <x v="0"/>
    <n v="68842.27"/>
  </r>
  <r>
    <s v="00022"/>
    <x v="0"/>
    <x v="1"/>
    <x v="0"/>
    <n v="93487.51"/>
  </r>
  <r>
    <s v="00025"/>
    <x v="0"/>
    <x v="0"/>
    <x v="0"/>
    <n v="61513.2"/>
  </r>
  <r>
    <s v="00028"/>
    <x v="0"/>
    <x v="1"/>
    <x v="0"/>
    <n v="731.25"/>
  </r>
  <r>
    <s v="00031"/>
    <x v="0"/>
    <x v="0"/>
    <x v="0"/>
    <n v="150539.44"/>
  </r>
  <r>
    <s v="00034"/>
    <x v="0"/>
    <x v="1"/>
    <x v="0"/>
    <n v="38800.28"/>
  </r>
  <r>
    <s v="00037"/>
    <x v="0"/>
    <x v="0"/>
    <x v="0"/>
    <n v="38668.99"/>
  </r>
  <r>
    <s v="00040"/>
    <x v="0"/>
    <x v="1"/>
    <x v="0"/>
    <n v="107057.52"/>
  </r>
  <r>
    <s v="00043"/>
    <x v="0"/>
    <x v="0"/>
    <x v="0"/>
    <n v="87322.71"/>
  </r>
  <r>
    <s v="00046"/>
    <x v="0"/>
    <x v="1"/>
    <x v="0"/>
    <n v="67778.850000000006"/>
  </r>
  <r>
    <s v="00049"/>
    <x v="0"/>
    <x v="0"/>
    <x v="0"/>
    <n v="112189.37"/>
  </r>
  <r>
    <s v="00052"/>
    <x v="0"/>
    <x v="1"/>
    <x v="0"/>
    <n v="105314.82"/>
  </r>
  <r>
    <s v="00055"/>
    <x v="0"/>
    <x v="0"/>
    <x v="0"/>
    <n v="137846.51999999999"/>
  </r>
  <r>
    <s v="00058"/>
    <x v="0"/>
    <x v="1"/>
    <x v="0"/>
    <n v="105232.63"/>
  </r>
  <r>
    <s v="00061"/>
    <x v="0"/>
    <x v="0"/>
    <x v="0"/>
    <n v="127080.3"/>
  </r>
  <r>
    <s v="00064"/>
    <x v="0"/>
    <x v="1"/>
    <x v="0"/>
    <n v="60632.13"/>
  </r>
  <r>
    <s v="00067"/>
    <x v="0"/>
    <x v="0"/>
    <x v="0"/>
    <n v="76653.73"/>
  </r>
  <r>
    <s v="00070"/>
    <x v="0"/>
    <x v="1"/>
    <x v="0"/>
    <n v="112918.24"/>
  </r>
  <r>
    <s v="00073"/>
    <x v="0"/>
    <x v="0"/>
    <x v="0"/>
    <n v="67174.990000000005"/>
  </r>
  <r>
    <s v="00076"/>
    <x v="0"/>
    <x v="1"/>
    <x v="0"/>
    <n v="207002.12"/>
  </r>
  <r>
    <s v="00079"/>
    <x v="0"/>
    <x v="0"/>
    <x v="0"/>
    <n v="139064.76"/>
  </r>
  <r>
    <s v="00082"/>
    <x v="0"/>
    <x v="1"/>
    <x v="0"/>
    <n v="61815.46"/>
  </r>
  <r>
    <m/>
    <x v="1"/>
    <x v="2"/>
    <x v="1"/>
    <n v="2449100.34"/>
  </r>
  <r>
    <s v="00002"/>
    <x v="2"/>
    <x v="3"/>
    <x v="0"/>
    <n v="96228.81"/>
  </r>
  <r>
    <s v="00005"/>
    <x v="2"/>
    <x v="4"/>
    <x v="0"/>
    <n v="96176.95"/>
  </r>
  <r>
    <s v="00008"/>
    <x v="2"/>
    <x v="3"/>
    <x v="0"/>
    <n v="79741.33"/>
  </r>
  <r>
    <s v="00011"/>
    <x v="2"/>
    <x v="4"/>
    <x v="0"/>
    <n v="34393.040000000001"/>
  </r>
  <r>
    <s v="00014"/>
    <x v="2"/>
    <x v="3"/>
    <x v="0"/>
    <n v="43813.279999999999"/>
  </r>
  <r>
    <s v="00017"/>
    <x v="2"/>
    <x v="4"/>
    <x v="0"/>
    <n v="19330.599999999999"/>
  </r>
  <r>
    <s v="00020"/>
    <x v="2"/>
    <x v="3"/>
    <x v="0"/>
    <n v="155130.42000000001"/>
  </r>
  <r>
    <s v="00023"/>
    <x v="2"/>
    <x v="4"/>
    <x v="0"/>
    <n v="93988.77"/>
  </r>
  <r>
    <s v="00026"/>
    <x v="2"/>
    <x v="3"/>
    <x v="0"/>
    <n v="205996.2"/>
  </r>
  <r>
    <s v="00029"/>
    <x v="2"/>
    <x v="4"/>
    <x v="0"/>
    <n v="138822.85999999999"/>
  </r>
  <r>
    <s v="00032"/>
    <x v="2"/>
    <x v="3"/>
    <x v="0"/>
    <n v="91707.8"/>
  </r>
  <r>
    <s v="00035"/>
    <x v="2"/>
    <x v="4"/>
    <x v="0"/>
    <n v="132373.42000000001"/>
  </r>
  <r>
    <s v="00038"/>
    <x v="2"/>
    <x v="3"/>
    <x v="0"/>
    <n v="98373.8"/>
  </r>
  <r>
    <s v="00041"/>
    <x v="2"/>
    <x v="4"/>
    <x v="0"/>
    <n v="172430.45"/>
  </r>
  <r>
    <s v="00044"/>
    <x v="2"/>
    <x v="3"/>
    <x v="0"/>
    <n v="106490.96"/>
  </r>
  <r>
    <s v="00047"/>
    <x v="2"/>
    <x v="4"/>
    <x v="0"/>
    <n v="101453.43"/>
  </r>
  <r>
    <s v="00050"/>
    <x v="2"/>
    <x v="3"/>
    <x v="0"/>
    <n v="96683.59"/>
  </r>
  <r>
    <s v="00053"/>
    <x v="2"/>
    <x v="4"/>
    <x v="0"/>
    <n v="66181.100000000006"/>
  </r>
  <r>
    <s v="00056"/>
    <x v="2"/>
    <x v="3"/>
    <x v="0"/>
    <n v="132762.5"/>
  </r>
  <r>
    <s v="00059"/>
    <x v="2"/>
    <x v="4"/>
    <x v="0"/>
    <n v="78962.600000000006"/>
  </r>
  <r>
    <s v="00062"/>
    <x v="2"/>
    <x v="3"/>
    <x v="0"/>
    <n v="92887.3"/>
  </r>
  <r>
    <s v="00065"/>
    <x v="2"/>
    <x v="4"/>
    <x v="0"/>
    <n v="135588.25"/>
  </r>
  <r>
    <s v="00068"/>
    <x v="2"/>
    <x v="3"/>
    <x v="0"/>
    <n v="62547.06"/>
  </r>
  <r>
    <s v="00071"/>
    <x v="2"/>
    <x v="4"/>
    <x v="0"/>
    <n v="188805.48"/>
  </r>
  <r>
    <s v="00074"/>
    <x v="2"/>
    <x v="3"/>
    <x v="0"/>
    <n v="91654.23"/>
  </r>
  <r>
    <s v="00077"/>
    <x v="2"/>
    <x v="4"/>
    <x v="0"/>
    <n v="12696.04"/>
  </r>
  <r>
    <s v="00080"/>
    <x v="2"/>
    <x v="3"/>
    <x v="0"/>
    <n v="117783.51"/>
  </r>
  <r>
    <s v="00083"/>
    <x v="2"/>
    <x v="4"/>
    <x v="0"/>
    <n v="100184.31"/>
  </r>
  <r>
    <m/>
    <x v="3"/>
    <x v="2"/>
    <x v="1"/>
    <n v="2843188.09"/>
  </r>
  <r>
    <s v="00003"/>
    <x v="4"/>
    <x v="5"/>
    <x v="0"/>
    <n v="84347.46"/>
  </r>
  <r>
    <s v="00006"/>
    <x v="4"/>
    <x v="6"/>
    <x v="0"/>
    <n v="99011.38"/>
  </r>
  <r>
    <s v="00009"/>
    <x v="4"/>
    <x v="5"/>
    <x v="0"/>
    <n v="102817.11"/>
  </r>
  <r>
    <s v="00012"/>
    <x v="4"/>
    <x v="6"/>
    <x v="0"/>
    <n v="35785.22"/>
  </r>
  <r>
    <s v="00015"/>
    <x v="4"/>
    <x v="5"/>
    <x v="0"/>
    <n v="88456.55"/>
  </r>
  <r>
    <s v="00018"/>
    <x v="4"/>
    <x v="6"/>
    <x v="0"/>
    <n v="93555.79"/>
  </r>
  <r>
    <s v="00021"/>
    <x v="4"/>
    <x v="5"/>
    <x v="0"/>
    <n v="176066.19"/>
  </r>
  <r>
    <s v="00024"/>
    <x v="4"/>
    <x v="6"/>
    <x v="0"/>
    <n v="98329.2"/>
  </r>
  <r>
    <s v="00027"/>
    <x v="4"/>
    <x v="5"/>
    <x v="0"/>
    <n v="75532.160000000003"/>
  </r>
  <r>
    <s v="00030"/>
    <x v="4"/>
    <x v="6"/>
    <x v="0"/>
    <n v="93369.64"/>
  </r>
  <r>
    <s v="00033"/>
    <x v="4"/>
    <x v="5"/>
    <x v="0"/>
    <n v="122629.26"/>
  </r>
  <r>
    <s v="00036"/>
    <x v="4"/>
    <x v="6"/>
    <x v="0"/>
    <n v="139969.12"/>
  </r>
  <r>
    <s v="00039"/>
    <x v="4"/>
    <x v="5"/>
    <x v="0"/>
    <n v="26802.959999999999"/>
  </r>
  <r>
    <s v="00042"/>
    <x v="4"/>
    <x v="6"/>
    <x v="0"/>
    <n v="46476.43"/>
  </r>
  <r>
    <s v="00045"/>
    <x v="4"/>
    <x v="5"/>
    <x v="0"/>
    <n v="104699.42"/>
  </r>
  <r>
    <s v="00048"/>
    <x v="4"/>
    <x v="6"/>
    <x v="0"/>
    <n v="106493.35"/>
  </r>
  <r>
    <s v="00051"/>
    <x v="4"/>
    <x v="5"/>
    <x v="0"/>
    <n v="120248.83"/>
  </r>
  <r>
    <s v="00054"/>
    <x v="4"/>
    <x v="6"/>
    <x v="0"/>
    <n v="94222.95"/>
  </r>
  <r>
    <s v="00057"/>
    <x v="4"/>
    <x v="5"/>
    <x v="0"/>
    <n v="99432.1"/>
  </r>
  <r>
    <s v="00060"/>
    <x v="4"/>
    <x v="6"/>
    <x v="0"/>
    <n v="97509.08"/>
  </r>
  <r>
    <s v="00063"/>
    <x v="4"/>
    <x v="5"/>
    <x v="0"/>
    <n v="79193.23"/>
  </r>
  <r>
    <s v="00066"/>
    <x v="4"/>
    <x v="6"/>
    <x v="0"/>
    <n v="188081.73"/>
  </r>
  <r>
    <s v="00069"/>
    <x v="4"/>
    <x v="5"/>
    <x v="0"/>
    <n v="107279.31"/>
  </r>
  <r>
    <s v="00072"/>
    <x v="4"/>
    <x v="6"/>
    <x v="0"/>
    <n v="731.25"/>
  </r>
  <r>
    <s v="00075"/>
    <x v="4"/>
    <x v="5"/>
    <x v="0"/>
    <n v="122576.17"/>
  </r>
  <r>
    <s v="00078"/>
    <x v="4"/>
    <x v="6"/>
    <x v="0"/>
    <n v="100381.56"/>
  </r>
  <r>
    <s v="00081"/>
    <x v="4"/>
    <x v="5"/>
    <x v="0"/>
    <n v="70958.19"/>
  </r>
  <r>
    <s v="00084"/>
    <x v="4"/>
    <x v="6"/>
    <x v="0"/>
    <n v="53791.68"/>
  </r>
  <r>
    <m/>
    <x v="5"/>
    <x v="2"/>
    <x v="1"/>
    <n v="2628747.31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A05E5-FA57-47DF-9524-8B5598D6D29D}" name="FeeSumma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0" firstHeaderRow="1" firstDataRow="2" firstDataCol="1"/>
  <pivotFields count="5">
    <pivotField showAll="0"/>
    <pivotField axis="axisRow" showAll="0">
      <items count="7">
        <item x="4"/>
        <item x="5"/>
        <item x="0"/>
        <item x="1"/>
        <item x="2"/>
        <item x="3"/>
        <item t="default"/>
      </items>
    </pivotField>
    <pivotField axis="axisRow" showAll="0">
      <items count="8">
        <item x="0"/>
        <item x="3"/>
        <item x="5"/>
        <item x="1"/>
        <item x="4"/>
        <item x="6"/>
        <item x="2"/>
        <item t="default"/>
      </items>
    </pivotField>
    <pivotField axis="axisCol" showAll="0">
      <items count="3">
        <item x="0"/>
        <item x="1"/>
        <item t="default"/>
      </items>
    </pivotField>
    <pivotField dataField="1" showAll="0"/>
  </pivotFields>
  <rowFields count="2">
    <field x="1"/>
    <field x="2"/>
  </rowFields>
  <rowItems count="16">
    <i>
      <x/>
    </i>
    <i r="1">
      <x v="2"/>
    </i>
    <i r="1">
      <x v="5"/>
    </i>
    <i>
      <x v="1"/>
    </i>
    <i r="1">
      <x v="6"/>
    </i>
    <i>
      <x v="2"/>
    </i>
    <i r="1">
      <x/>
    </i>
    <i r="1">
      <x v="3"/>
    </i>
    <i>
      <x v="3"/>
    </i>
    <i r="1">
      <x v="6"/>
    </i>
    <i>
      <x v="4"/>
    </i>
    <i r="1">
      <x v="1"/>
    </i>
    <i r="1">
      <x v="4"/>
    </i>
    <i>
      <x v="5"/>
    </i>
    <i r="1">
      <x v="6"/>
    </i>
    <i t="grand">
      <x/>
    </i>
  </rowItems>
  <colFields count="1">
    <field x="3"/>
  </colFields>
  <colItems count="3">
    <i>
      <x/>
    </i>
    <i>
      <x v="1"/>
    </i>
    <i t="grand">
      <x/>
    </i>
  </colItems>
  <dataFields count="1">
    <dataField name="Sum of fee_gb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5"/>
  <sheetViews>
    <sheetView tabSelected="1" workbookViewId="0"/>
  </sheetViews>
  <sheetFormatPr defaultRowHeight="14.5" x14ac:dyDescent="0.35"/>
  <sheetData>
    <row r="1" spans="1:1" x14ac:dyDescent="0.35">
      <c r="A1" s="1" t="s">
        <v>0</v>
      </c>
    </row>
    <row r="3" spans="1:1" x14ac:dyDescent="0.35">
      <c r="A3" s="2" t="s">
        <v>1</v>
      </c>
    </row>
    <row r="4" spans="1:1" x14ac:dyDescent="0.35">
      <c r="A4" s="2" t="s">
        <v>2</v>
      </c>
    </row>
    <row r="5" spans="1:1" x14ac:dyDescent="0.35">
      <c r="A5" s="2" t="s">
        <v>3</v>
      </c>
    </row>
    <row r="6" spans="1:1" x14ac:dyDescent="0.35">
      <c r="A6" s="2" t="s">
        <v>4</v>
      </c>
    </row>
    <row r="7" spans="1:1" x14ac:dyDescent="0.35">
      <c r="A7" s="2" t="s">
        <v>5</v>
      </c>
    </row>
    <row r="8" spans="1:1" x14ac:dyDescent="0.35">
      <c r="A8" s="2" t="s">
        <v>6</v>
      </c>
    </row>
    <row r="9" spans="1:1" x14ac:dyDescent="0.35">
      <c r="A9" s="2" t="s">
        <v>7</v>
      </c>
    </row>
    <row r="10" spans="1:1" x14ac:dyDescent="0.35">
      <c r="A10" s="2" t="s">
        <v>8</v>
      </c>
    </row>
    <row r="11" spans="1:1" x14ac:dyDescent="0.35">
      <c r="A11" s="2" t="s">
        <v>9</v>
      </c>
    </row>
    <row r="12" spans="1:1" x14ac:dyDescent="0.35">
      <c r="A12" s="2" t="s">
        <v>10</v>
      </c>
    </row>
    <row r="13" spans="1:1" x14ac:dyDescent="0.35">
      <c r="A13" s="2" t="s">
        <v>11</v>
      </c>
    </row>
    <row r="14" spans="1:1" x14ac:dyDescent="0.35">
      <c r="A14" s="2" t="s">
        <v>12</v>
      </c>
    </row>
    <row r="15" spans="1:1" x14ac:dyDescent="0.35">
      <c r="A15" s="2" t="s">
        <v>13</v>
      </c>
    </row>
    <row r="17" spans="1:6" x14ac:dyDescent="0.35">
      <c r="A17" s="1" t="s">
        <v>14</v>
      </c>
      <c r="B17" s="1" t="s">
        <v>15</v>
      </c>
      <c r="C17" s="1" t="s">
        <v>16</v>
      </c>
      <c r="D17" s="1" t="s">
        <v>17</v>
      </c>
      <c r="E17" s="1" t="s">
        <v>18</v>
      </c>
      <c r="F17" s="1" t="s">
        <v>19</v>
      </c>
    </row>
    <row r="18" spans="1:6" x14ac:dyDescent="0.35">
      <c r="A18" t="s">
        <v>20</v>
      </c>
      <c r="B18" t="s">
        <v>21</v>
      </c>
      <c r="C18" s="3">
        <v>46323</v>
      </c>
      <c r="D18" t="s">
        <v>22</v>
      </c>
      <c r="E18" t="s">
        <v>23</v>
      </c>
      <c r="F18">
        <v>8277234.3499999996</v>
      </c>
    </row>
    <row r="19" spans="1:6" x14ac:dyDescent="0.35">
      <c r="A19" t="s">
        <v>20</v>
      </c>
      <c r="B19" t="s">
        <v>21</v>
      </c>
      <c r="C19" s="3">
        <v>46354</v>
      </c>
      <c r="D19" t="s">
        <v>24</v>
      </c>
      <c r="E19" t="s">
        <v>23</v>
      </c>
      <c r="F19">
        <v>14800745.5</v>
      </c>
    </row>
    <row r="20" spans="1:6" x14ac:dyDescent="0.35">
      <c r="A20" t="s">
        <v>25</v>
      </c>
      <c r="B20" t="s">
        <v>26</v>
      </c>
      <c r="C20" s="3">
        <v>46323</v>
      </c>
      <c r="D20" t="s">
        <v>22</v>
      </c>
      <c r="E20" t="s">
        <v>27</v>
      </c>
      <c r="F20">
        <v>17676688.210000001</v>
      </c>
    </row>
    <row r="21" spans="1:6" x14ac:dyDescent="0.35">
      <c r="A21" t="s">
        <v>25</v>
      </c>
      <c r="B21" t="s">
        <v>26</v>
      </c>
      <c r="C21" s="3">
        <v>46354</v>
      </c>
      <c r="D21" t="s">
        <v>24</v>
      </c>
      <c r="E21" t="s">
        <v>27</v>
      </c>
      <c r="F21">
        <v>89021932.859999999</v>
      </c>
    </row>
    <row r="22" spans="1:6" x14ac:dyDescent="0.35">
      <c r="A22" t="s">
        <v>28</v>
      </c>
      <c r="B22" t="s">
        <v>29</v>
      </c>
      <c r="C22" s="3">
        <v>46323</v>
      </c>
      <c r="D22" t="s">
        <v>22</v>
      </c>
      <c r="E22" t="s">
        <v>30</v>
      </c>
      <c r="F22">
        <v>73487515.310000002</v>
      </c>
    </row>
    <row r="23" spans="1:6" x14ac:dyDescent="0.35">
      <c r="A23" t="s">
        <v>28</v>
      </c>
      <c r="B23" t="s">
        <v>29</v>
      </c>
      <c r="C23" s="3">
        <v>46354</v>
      </c>
      <c r="D23" t="s">
        <v>24</v>
      </c>
      <c r="E23" t="s">
        <v>30</v>
      </c>
      <c r="F23">
        <v>5158139.95</v>
      </c>
    </row>
    <row r="24" spans="1:6" x14ac:dyDescent="0.35">
      <c r="A24" t="s">
        <v>31</v>
      </c>
      <c r="B24" t="s">
        <v>32</v>
      </c>
      <c r="C24" s="3">
        <v>46323</v>
      </c>
      <c r="D24" t="s">
        <v>22</v>
      </c>
      <c r="E24" t="s">
        <v>23</v>
      </c>
      <c r="F24">
        <v>120000</v>
      </c>
    </row>
    <row r="25" spans="1:6" x14ac:dyDescent="0.35">
      <c r="A25" t="s">
        <v>31</v>
      </c>
      <c r="B25" t="s">
        <v>32</v>
      </c>
      <c r="C25" s="3">
        <v>46354</v>
      </c>
      <c r="D25" t="s">
        <v>24</v>
      </c>
      <c r="E25" t="s">
        <v>23</v>
      </c>
      <c r="F25">
        <v>124800</v>
      </c>
    </row>
    <row r="26" spans="1:6" x14ac:dyDescent="0.35">
      <c r="A26" t="s">
        <v>33</v>
      </c>
      <c r="B26" t="s">
        <v>34</v>
      </c>
      <c r="C26" s="3">
        <v>46323</v>
      </c>
      <c r="D26" t="s">
        <v>22</v>
      </c>
      <c r="E26" t="s">
        <v>27</v>
      </c>
      <c r="F26">
        <v>23039688.469999999</v>
      </c>
    </row>
    <row r="27" spans="1:6" x14ac:dyDescent="0.35">
      <c r="A27" t="s">
        <v>33</v>
      </c>
      <c r="B27" t="s">
        <v>34</v>
      </c>
      <c r="C27" s="3">
        <v>46354</v>
      </c>
      <c r="D27" t="s">
        <v>24</v>
      </c>
      <c r="E27" t="s">
        <v>27</v>
      </c>
      <c r="F27">
        <v>66635792.280000001</v>
      </c>
    </row>
    <row r="28" spans="1:6" x14ac:dyDescent="0.35">
      <c r="A28" t="s">
        <v>35</v>
      </c>
      <c r="B28" t="s">
        <v>36</v>
      </c>
      <c r="C28" s="3">
        <v>46323</v>
      </c>
      <c r="D28" t="s">
        <v>22</v>
      </c>
      <c r="E28" t="s">
        <v>30</v>
      </c>
      <c r="F28">
        <v>63333653.090000004</v>
      </c>
    </row>
    <row r="29" spans="1:6" x14ac:dyDescent="0.35">
      <c r="A29" t="s">
        <v>35</v>
      </c>
      <c r="B29" t="s">
        <v>36</v>
      </c>
      <c r="C29" s="3">
        <v>46354</v>
      </c>
      <c r="D29" t="s">
        <v>24</v>
      </c>
      <c r="E29" t="s">
        <v>30</v>
      </c>
      <c r="F29">
        <v>10520983.57</v>
      </c>
    </row>
    <row r="30" spans="1:6" x14ac:dyDescent="0.35">
      <c r="A30" t="s">
        <v>37</v>
      </c>
      <c r="B30" t="s">
        <v>38</v>
      </c>
      <c r="C30" s="3">
        <v>46323</v>
      </c>
      <c r="D30" t="s">
        <v>22</v>
      </c>
      <c r="E30" t="s">
        <v>23</v>
      </c>
      <c r="F30">
        <v>40888443.270000003</v>
      </c>
    </row>
    <row r="31" spans="1:6" x14ac:dyDescent="0.35">
      <c r="A31" t="s">
        <v>37</v>
      </c>
      <c r="B31" t="s">
        <v>38</v>
      </c>
      <c r="C31" s="3">
        <v>46354</v>
      </c>
      <c r="D31" t="s">
        <v>24</v>
      </c>
      <c r="E31" t="s">
        <v>23</v>
      </c>
      <c r="F31">
        <v>17237751.460000001</v>
      </c>
    </row>
    <row r="32" spans="1:6" x14ac:dyDescent="0.35">
      <c r="A32" t="s">
        <v>39</v>
      </c>
      <c r="B32" t="s">
        <v>40</v>
      </c>
      <c r="C32" s="3">
        <v>46323</v>
      </c>
      <c r="D32" t="s">
        <v>22</v>
      </c>
      <c r="E32" t="s">
        <v>27</v>
      </c>
      <c r="F32">
        <v>58018817.140000001</v>
      </c>
    </row>
    <row r="33" spans="1:6" x14ac:dyDescent="0.35">
      <c r="A33" t="s">
        <v>39</v>
      </c>
      <c r="B33" t="s">
        <v>40</v>
      </c>
      <c r="C33" s="3">
        <v>46354</v>
      </c>
      <c r="D33" t="s">
        <v>24</v>
      </c>
      <c r="E33" t="s">
        <v>27</v>
      </c>
      <c r="F33">
        <v>16332070.890000001</v>
      </c>
    </row>
    <row r="34" spans="1:6" x14ac:dyDescent="0.35">
      <c r="A34" t="s">
        <v>41</v>
      </c>
      <c r="B34" t="s">
        <v>42</v>
      </c>
      <c r="C34" s="3">
        <v>46323</v>
      </c>
      <c r="D34" t="s">
        <v>22</v>
      </c>
      <c r="E34" t="s">
        <v>30</v>
      </c>
      <c r="F34">
        <v>29048632.210000001</v>
      </c>
    </row>
    <row r="35" spans="1:6" x14ac:dyDescent="0.35">
      <c r="A35" t="s">
        <v>41</v>
      </c>
      <c r="B35" t="s">
        <v>42</v>
      </c>
      <c r="C35" s="3">
        <v>46354</v>
      </c>
      <c r="D35" t="s">
        <v>24</v>
      </c>
      <c r="E35" t="s">
        <v>30</v>
      </c>
      <c r="F35">
        <v>66818137.359999999</v>
      </c>
    </row>
    <row r="36" spans="1:6" x14ac:dyDescent="0.35">
      <c r="A36" t="s">
        <v>43</v>
      </c>
      <c r="B36" t="s">
        <v>44</v>
      </c>
      <c r="C36" s="3">
        <v>46323</v>
      </c>
      <c r="D36" t="s">
        <v>22</v>
      </c>
      <c r="E36" t="s">
        <v>23</v>
      </c>
      <c r="F36">
        <v>30750459.969999999</v>
      </c>
    </row>
    <row r="37" spans="1:6" x14ac:dyDescent="0.35">
      <c r="A37" t="s">
        <v>43</v>
      </c>
      <c r="B37" t="s">
        <v>44</v>
      </c>
      <c r="C37" s="3">
        <v>46354</v>
      </c>
      <c r="D37" t="s">
        <v>24</v>
      </c>
      <c r="E37" t="s">
        <v>23</v>
      </c>
      <c r="F37">
        <v>78977381.480000004</v>
      </c>
    </row>
    <row r="38" spans="1:6" x14ac:dyDescent="0.35">
      <c r="A38" t="s">
        <v>45</v>
      </c>
      <c r="B38" t="s">
        <v>46</v>
      </c>
      <c r="C38" s="3">
        <v>46323</v>
      </c>
      <c r="D38" t="s">
        <v>22</v>
      </c>
      <c r="E38" t="s">
        <v>27</v>
      </c>
      <c r="F38">
        <v>22031121.32</v>
      </c>
    </row>
    <row r="39" spans="1:6" x14ac:dyDescent="0.35">
      <c r="A39" t="s">
        <v>45</v>
      </c>
      <c r="B39" t="s">
        <v>46</v>
      </c>
      <c r="C39" s="3">
        <v>46354</v>
      </c>
      <c r="D39" t="s">
        <v>24</v>
      </c>
      <c r="E39" t="s">
        <v>27</v>
      </c>
      <c r="F39">
        <v>10782747.369999999</v>
      </c>
    </row>
    <row r="40" spans="1:6" x14ac:dyDescent="0.35">
      <c r="A40" t="s">
        <v>47</v>
      </c>
      <c r="B40" t="s">
        <v>48</v>
      </c>
      <c r="C40" s="3">
        <v>46323</v>
      </c>
      <c r="D40" t="s">
        <v>22</v>
      </c>
      <c r="E40" t="s">
        <v>30</v>
      </c>
      <c r="F40">
        <v>6883612.4299999997</v>
      </c>
    </row>
    <row r="41" spans="1:6" x14ac:dyDescent="0.35">
      <c r="A41" t="s">
        <v>47</v>
      </c>
      <c r="B41" t="s">
        <v>48</v>
      </c>
      <c r="C41" s="3">
        <v>46354</v>
      </c>
      <c r="D41" t="s">
        <v>24</v>
      </c>
      <c r="E41" t="s">
        <v>30</v>
      </c>
      <c r="F41">
        <v>19809329.210000001</v>
      </c>
    </row>
    <row r="42" spans="1:6" x14ac:dyDescent="0.35">
      <c r="A42" t="s">
        <v>49</v>
      </c>
      <c r="B42" t="s">
        <v>50</v>
      </c>
      <c r="C42" s="3">
        <v>46323</v>
      </c>
      <c r="D42" t="s">
        <v>22</v>
      </c>
      <c r="E42" t="s">
        <v>23</v>
      </c>
      <c r="F42">
        <v>43570496.079999998</v>
      </c>
    </row>
    <row r="43" spans="1:6" x14ac:dyDescent="0.35">
      <c r="A43" t="s">
        <v>49</v>
      </c>
      <c r="B43" t="s">
        <v>50</v>
      </c>
      <c r="C43" s="3">
        <v>46354</v>
      </c>
      <c r="D43" t="s">
        <v>24</v>
      </c>
      <c r="E43" t="s">
        <v>23</v>
      </c>
      <c r="F43">
        <v>10420038.33</v>
      </c>
    </row>
    <row r="44" spans="1:6" x14ac:dyDescent="0.35">
      <c r="A44" t="s">
        <v>51</v>
      </c>
      <c r="B44" t="s">
        <v>52</v>
      </c>
      <c r="C44" s="3">
        <v>46323</v>
      </c>
      <c r="D44" t="s">
        <v>22</v>
      </c>
      <c r="E44" t="s">
        <v>27</v>
      </c>
      <c r="F44">
        <v>32971873.989999998</v>
      </c>
    </row>
    <row r="45" spans="1:6" x14ac:dyDescent="0.35">
      <c r="A45" t="s">
        <v>51</v>
      </c>
      <c r="B45" t="s">
        <v>52</v>
      </c>
      <c r="C45" s="3">
        <v>46354</v>
      </c>
      <c r="D45" t="s">
        <v>24</v>
      </c>
      <c r="E45" t="s">
        <v>27</v>
      </c>
      <c r="F45">
        <v>7879667.1799999997</v>
      </c>
    </row>
    <row r="46" spans="1:6" x14ac:dyDescent="0.35">
      <c r="A46" t="s">
        <v>53</v>
      </c>
      <c r="B46" t="s">
        <v>54</v>
      </c>
      <c r="C46" s="3">
        <v>46323</v>
      </c>
      <c r="D46" t="s">
        <v>22</v>
      </c>
      <c r="E46" t="s">
        <v>30</v>
      </c>
      <c r="F46">
        <v>11859732.039999999</v>
      </c>
    </row>
    <row r="47" spans="1:6" x14ac:dyDescent="0.35">
      <c r="A47" t="s">
        <v>53</v>
      </c>
      <c r="B47" t="s">
        <v>54</v>
      </c>
      <c r="C47" s="3">
        <v>46354</v>
      </c>
      <c r="D47" t="s">
        <v>24</v>
      </c>
      <c r="E47" t="s">
        <v>30</v>
      </c>
      <c r="F47">
        <v>70617244.109999999</v>
      </c>
    </row>
    <row r="48" spans="1:6" x14ac:dyDescent="0.35">
      <c r="A48" t="s">
        <v>55</v>
      </c>
      <c r="B48" t="s">
        <v>56</v>
      </c>
      <c r="C48" s="3">
        <v>46323</v>
      </c>
      <c r="D48" t="s">
        <v>22</v>
      </c>
      <c r="E48" t="s">
        <v>23</v>
      </c>
      <c r="F48">
        <v>53007850.310000002</v>
      </c>
    </row>
    <row r="49" spans="1:6" x14ac:dyDescent="0.35">
      <c r="A49" t="s">
        <v>55</v>
      </c>
      <c r="B49" t="s">
        <v>56</v>
      </c>
      <c r="C49" s="3">
        <v>46354</v>
      </c>
      <c r="D49" t="s">
        <v>24</v>
      </c>
      <c r="E49" t="s">
        <v>23</v>
      </c>
      <c r="F49">
        <v>88620282.879999995</v>
      </c>
    </row>
    <row r="50" spans="1:6" x14ac:dyDescent="0.35">
      <c r="A50" t="s">
        <v>57</v>
      </c>
      <c r="B50" t="s">
        <v>58</v>
      </c>
      <c r="C50" s="3">
        <v>46323</v>
      </c>
      <c r="D50" t="s">
        <v>22</v>
      </c>
      <c r="E50" t="s">
        <v>27</v>
      </c>
      <c r="F50">
        <v>4412020.13</v>
      </c>
    </row>
    <row r="51" spans="1:6" x14ac:dyDescent="0.35">
      <c r="A51" t="s">
        <v>57</v>
      </c>
      <c r="B51" t="s">
        <v>58</v>
      </c>
      <c r="C51" s="3">
        <v>46354</v>
      </c>
      <c r="D51" t="s">
        <v>24</v>
      </c>
      <c r="E51" t="s">
        <v>27</v>
      </c>
      <c r="F51">
        <v>10007080.33</v>
      </c>
    </row>
    <row r="52" spans="1:6" x14ac:dyDescent="0.35">
      <c r="A52" t="s">
        <v>59</v>
      </c>
      <c r="B52" t="s">
        <v>60</v>
      </c>
      <c r="C52" s="3">
        <v>46323</v>
      </c>
      <c r="D52" t="s">
        <v>22</v>
      </c>
      <c r="E52" t="s">
        <v>30</v>
      </c>
      <c r="F52">
        <v>19140123.32</v>
      </c>
    </row>
    <row r="53" spans="1:6" x14ac:dyDescent="0.35">
      <c r="A53" t="s">
        <v>59</v>
      </c>
      <c r="B53" t="s">
        <v>60</v>
      </c>
      <c r="C53" s="3">
        <v>46354</v>
      </c>
      <c r="D53" t="s">
        <v>24</v>
      </c>
      <c r="E53" t="s">
        <v>30</v>
      </c>
      <c r="F53">
        <v>68091385.239999995</v>
      </c>
    </row>
    <row r="54" spans="1:6" x14ac:dyDescent="0.35">
      <c r="A54" t="s">
        <v>61</v>
      </c>
      <c r="B54" t="s">
        <v>62</v>
      </c>
      <c r="C54" s="3">
        <v>46323</v>
      </c>
      <c r="D54" t="s">
        <v>22</v>
      </c>
      <c r="E54" t="s">
        <v>23</v>
      </c>
      <c r="F54">
        <v>20984634.27</v>
      </c>
    </row>
    <row r="55" spans="1:6" x14ac:dyDescent="0.35">
      <c r="A55" t="s">
        <v>61</v>
      </c>
      <c r="B55" t="s">
        <v>62</v>
      </c>
      <c r="C55" s="3">
        <v>46354</v>
      </c>
      <c r="D55" t="s">
        <v>24</v>
      </c>
      <c r="E55" t="s">
        <v>23</v>
      </c>
      <c r="F55">
        <v>43203961.759999998</v>
      </c>
    </row>
    <row r="56" spans="1:6" x14ac:dyDescent="0.35">
      <c r="A56" t="s">
        <v>63</v>
      </c>
      <c r="B56" t="s">
        <v>64</v>
      </c>
      <c r="C56" s="3">
        <v>46323</v>
      </c>
      <c r="D56" t="s">
        <v>22</v>
      </c>
      <c r="E56" t="s">
        <v>27</v>
      </c>
      <c r="F56">
        <v>87845303.969999999</v>
      </c>
    </row>
    <row r="57" spans="1:6" x14ac:dyDescent="0.35">
      <c r="A57" t="s">
        <v>63</v>
      </c>
      <c r="B57" t="s">
        <v>64</v>
      </c>
      <c r="C57" s="3">
        <v>46354</v>
      </c>
      <c r="D57" t="s">
        <v>24</v>
      </c>
      <c r="E57" t="s">
        <v>27</v>
      </c>
      <c r="F57">
        <v>84163479.030000001</v>
      </c>
    </row>
    <row r="58" spans="1:6" x14ac:dyDescent="0.35">
      <c r="A58" t="s">
        <v>65</v>
      </c>
      <c r="B58" t="s">
        <v>66</v>
      </c>
      <c r="C58" s="3">
        <v>46323</v>
      </c>
      <c r="D58" t="s">
        <v>22</v>
      </c>
      <c r="E58" t="s">
        <v>30</v>
      </c>
      <c r="F58">
        <v>83871574.480000004</v>
      </c>
    </row>
    <row r="59" spans="1:6" x14ac:dyDescent="0.35">
      <c r="A59" t="s">
        <v>65</v>
      </c>
      <c r="B59" t="s">
        <v>66</v>
      </c>
      <c r="C59" s="3">
        <v>46354</v>
      </c>
      <c r="D59" t="s">
        <v>24</v>
      </c>
      <c r="E59" t="s">
        <v>30</v>
      </c>
      <c r="F59">
        <v>73155128</v>
      </c>
    </row>
    <row r="60" spans="1:6" x14ac:dyDescent="0.35">
      <c r="A60" t="s">
        <v>67</v>
      </c>
      <c r="B60" t="s">
        <v>68</v>
      </c>
      <c r="C60" s="3">
        <v>46323</v>
      </c>
      <c r="D60" t="s">
        <v>22</v>
      </c>
      <c r="E60" t="s">
        <v>23</v>
      </c>
      <c r="F60">
        <v>15144691.07</v>
      </c>
    </row>
    <row r="61" spans="1:6" x14ac:dyDescent="0.35">
      <c r="A61" t="s">
        <v>67</v>
      </c>
      <c r="B61" t="s">
        <v>68</v>
      </c>
      <c r="C61" s="3">
        <v>46354</v>
      </c>
      <c r="D61" t="s">
        <v>24</v>
      </c>
      <c r="E61" t="s">
        <v>23</v>
      </c>
      <c r="F61">
        <v>72023153.209999993</v>
      </c>
    </row>
    <row r="62" spans="1:6" x14ac:dyDescent="0.35">
      <c r="A62" t="s">
        <v>69</v>
      </c>
      <c r="B62" t="s">
        <v>70</v>
      </c>
      <c r="C62" s="3">
        <v>46323</v>
      </c>
      <c r="D62" t="s">
        <v>22</v>
      </c>
      <c r="E62" t="s">
        <v>27</v>
      </c>
      <c r="F62">
        <v>75327111.640000001</v>
      </c>
    </row>
    <row r="63" spans="1:6" x14ac:dyDescent="0.35">
      <c r="A63" t="s">
        <v>69</v>
      </c>
      <c r="B63" t="s">
        <v>70</v>
      </c>
      <c r="C63" s="3">
        <v>46354</v>
      </c>
      <c r="D63" t="s">
        <v>24</v>
      </c>
      <c r="E63" t="s">
        <v>27</v>
      </c>
      <c r="F63">
        <v>12308107.16</v>
      </c>
    </row>
    <row r="64" spans="1:6" x14ac:dyDescent="0.35">
      <c r="A64" t="s">
        <v>71</v>
      </c>
      <c r="B64" t="s">
        <v>72</v>
      </c>
      <c r="C64" s="3">
        <v>46323</v>
      </c>
      <c r="D64" t="s">
        <v>22</v>
      </c>
      <c r="E64" t="s">
        <v>30</v>
      </c>
      <c r="F64">
        <v>45574045.869999997</v>
      </c>
    </row>
    <row r="65" spans="1:6" x14ac:dyDescent="0.35">
      <c r="A65" t="s">
        <v>71</v>
      </c>
      <c r="B65" t="s">
        <v>72</v>
      </c>
      <c r="C65" s="3">
        <v>46354</v>
      </c>
      <c r="D65" t="s">
        <v>24</v>
      </c>
      <c r="E65" t="s">
        <v>30</v>
      </c>
      <c r="F65">
        <v>63453476.850000001</v>
      </c>
    </row>
    <row r="66" spans="1:6" x14ac:dyDescent="0.35">
      <c r="A66" t="s">
        <v>73</v>
      </c>
      <c r="B66" t="s">
        <v>74</v>
      </c>
      <c r="C66" s="3">
        <v>46323</v>
      </c>
      <c r="D66" t="s">
        <v>22</v>
      </c>
      <c r="E66" t="s">
        <v>23</v>
      </c>
      <c r="F66">
        <v>10039727.33</v>
      </c>
    </row>
    <row r="67" spans="1:6" x14ac:dyDescent="0.35">
      <c r="A67" t="s">
        <v>73</v>
      </c>
      <c r="B67" t="s">
        <v>74</v>
      </c>
      <c r="C67" s="3">
        <v>46354</v>
      </c>
      <c r="D67" t="s">
        <v>24</v>
      </c>
      <c r="E67" t="s">
        <v>23</v>
      </c>
      <c r="F67">
        <v>47315234.710000001</v>
      </c>
    </row>
    <row r="68" spans="1:6" x14ac:dyDescent="0.35">
      <c r="A68" t="s">
        <v>75</v>
      </c>
      <c r="B68" t="s">
        <v>76</v>
      </c>
      <c r="C68" s="3">
        <v>46323</v>
      </c>
      <c r="D68" t="s">
        <v>22</v>
      </c>
      <c r="E68" t="s">
        <v>27</v>
      </c>
      <c r="F68">
        <v>54469367.119999997</v>
      </c>
    </row>
    <row r="69" spans="1:6" x14ac:dyDescent="0.35">
      <c r="A69" t="s">
        <v>75</v>
      </c>
      <c r="B69" t="s">
        <v>76</v>
      </c>
      <c r="C69" s="3">
        <v>46354</v>
      </c>
      <c r="D69" t="s">
        <v>24</v>
      </c>
      <c r="E69" t="s">
        <v>27</v>
      </c>
      <c r="F69">
        <v>84073681.939999998</v>
      </c>
    </row>
    <row r="70" spans="1:6" x14ac:dyDescent="0.35">
      <c r="A70" t="s">
        <v>77</v>
      </c>
      <c r="B70" t="s">
        <v>78</v>
      </c>
      <c r="C70" s="3">
        <v>46323</v>
      </c>
      <c r="D70" t="s">
        <v>22</v>
      </c>
      <c r="E70" t="s">
        <v>30</v>
      </c>
      <c r="F70">
        <v>11518810.23</v>
      </c>
    </row>
    <row r="71" spans="1:6" x14ac:dyDescent="0.35">
      <c r="A71" t="s">
        <v>77</v>
      </c>
      <c r="B71" t="s">
        <v>78</v>
      </c>
      <c r="C71" s="3">
        <v>46354</v>
      </c>
      <c r="D71" t="s">
        <v>24</v>
      </c>
      <c r="E71" t="s">
        <v>30</v>
      </c>
      <c r="F71">
        <v>58907441.32</v>
      </c>
    </row>
    <row r="72" spans="1:6" x14ac:dyDescent="0.35">
      <c r="A72" t="s">
        <v>79</v>
      </c>
      <c r="B72" t="s">
        <v>80</v>
      </c>
      <c r="C72" s="3">
        <v>46323</v>
      </c>
      <c r="D72" t="s">
        <v>22</v>
      </c>
      <c r="E72" t="s">
        <v>23</v>
      </c>
      <c r="F72">
        <v>185000</v>
      </c>
    </row>
    <row r="73" spans="1:6" x14ac:dyDescent="0.35">
      <c r="A73" t="s">
        <v>79</v>
      </c>
      <c r="B73" t="s">
        <v>80</v>
      </c>
      <c r="C73" s="3">
        <v>46354</v>
      </c>
      <c r="D73" t="s">
        <v>24</v>
      </c>
      <c r="E73" t="s">
        <v>23</v>
      </c>
      <c r="F73">
        <v>192400</v>
      </c>
    </row>
    <row r="74" spans="1:6" x14ac:dyDescent="0.35">
      <c r="A74" t="s">
        <v>81</v>
      </c>
      <c r="B74" t="s">
        <v>82</v>
      </c>
      <c r="C74" s="3">
        <v>46323</v>
      </c>
      <c r="D74" t="s">
        <v>22</v>
      </c>
      <c r="E74" t="s">
        <v>27</v>
      </c>
      <c r="F74">
        <v>79727071.370000005</v>
      </c>
    </row>
    <row r="75" spans="1:6" x14ac:dyDescent="0.35">
      <c r="A75" t="s">
        <v>81</v>
      </c>
      <c r="B75" t="s">
        <v>82</v>
      </c>
      <c r="C75" s="3">
        <v>46354</v>
      </c>
      <c r="D75" t="s">
        <v>24</v>
      </c>
      <c r="E75" t="s">
        <v>27</v>
      </c>
      <c r="F75">
        <v>74199864.280000001</v>
      </c>
    </row>
    <row r="76" spans="1:6" x14ac:dyDescent="0.35">
      <c r="A76" t="s">
        <v>83</v>
      </c>
      <c r="B76" t="s">
        <v>84</v>
      </c>
      <c r="C76" s="3">
        <v>46323</v>
      </c>
      <c r="D76" t="s">
        <v>22</v>
      </c>
      <c r="E76" t="s">
        <v>30</v>
      </c>
      <c r="F76">
        <v>19610812.420000002</v>
      </c>
    </row>
    <row r="77" spans="1:6" x14ac:dyDescent="0.35">
      <c r="A77" t="s">
        <v>83</v>
      </c>
      <c r="B77" t="s">
        <v>84</v>
      </c>
      <c r="C77" s="3">
        <v>46354</v>
      </c>
      <c r="D77" t="s">
        <v>24</v>
      </c>
      <c r="E77" t="s">
        <v>30</v>
      </c>
      <c r="F77">
        <v>83917549.510000005</v>
      </c>
    </row>
    <row r="78" spans="1:6" x14ac:dyDescent="0.35">
      <c r="A78" t="s">
        <v>85</v>
      </c>
      <c r="B78" t="s">
        <v>86</v>
      </c>
      <c r="C78" s="3">
        <v>46323</v>
      </c>
      <c r="D78" t="s">
        <v>22</v>
      </c>
      <c r="E78" t="s">
        <v>23</v>
      </c>
      <c r="F78">
        <v>38534192.640000001</v>
      </c>
    </row>
    <row r="79" spans="1:6" x14ac:dyDescent="0.35">
      <c r="A79" t="s">
        <v>85</v>
      </c>
      <c r="B79" t="s">
        <v>86</v>
      </c>
      <c r="C79" s="3">
        <v>46354</v>
      </c>
      <c r="D79" t="s">
        <v>24</v>
      </c>
      <c r="E79" t="s">
        <v>23</v>
      </c>
      <c r="F79">
        <v>87506157.780000001</v>
      </c>
    </row>
    <row r="80" spans="1:6" x14ac:dyDescent="0.35">
      <c r="A80" t="s">
        <v>87</v>
      </c>
      <c r="B80" t="s">
        <v>88</v>
      </c>
      <c r="C80" s="3">
        <v>46323</v>
      </c>
      <c r="D80" t="s">
        <v>22</v>
      </c>
      <c r="E80" t="s">
        <v>27</v>
      </c>
      <c r="F80">
        <v>22708271.359999999</v>
      </c>
    </row>
    <row r="81" spans="1:6" x14ac:dyDescent="0.35">
      <c r="A81" t="s">
        <v>87</v>
      </c>
      <c r="B81" t="s">
        <v>88</v>
      </c>
      <c r="C81" s="3">
        <v>46354</v>
      </c>
      <c r="D81" t="s">
        <v>24</v>
      </c>
      <c r="E81" t="s">
        <v>27</v>
      </c>
      <c r="F81">
        <v>78977433.900000006</v>
      </c>
    </row>
    <row r="82" spans="1:6" x14ac:dyDescent="0.35">
      <c r="A82" t="s">
        <v>89</v>
      </c>
      <c r="B82" t="s">
        <v>90</v>
      </c>
      <c r="C82" s="3">
        <v>46323</v>
      </c>
      <c r="D82" t="s">
        <v>22</v>
      </c>
      <c r="E82" t="s">
        <v>30</v>
      </c>
      <c r="F82">
        <v>79053999.950000003</v>
      </c>
    </row>
    <row r="83" spans="1:6" x14ac:dyDescent="0.35">
      <c r="A83" t="s">
        <v>89</v>
      </c>
      <c r="B83" t="s">
        <v>90</v>
      </c>
      <c r="C83" s="3">
        <v>46354</v>
      </c>
      <c r="D83" t="s">
        <v>24</v>
      </c>
      <c r="E83" t="s">
        <v>30</v>
      </c>
      <c r="F83">
        <v>56917464.090000004</v>
      </c>
    </row>
    <row r="84" spans="1:6" x14ac:dyDescent="0.35">
      <c r="A84" t="s">
        <v>91</v>
      </c>
      <c r="B84" t="s">
        <v>92</v>
      </c>
      <c r="C84" s="3">
        <v>46323</v>
      </c>
      <c r="D84" t="s">
        <v>22</v>
      </c>
      <c r="E84" t="s">
        <v>23</v>
      </c>
      <c r="F84">
        <v>66240795.75</v>
      </c>
    </row>
    <row r="85" spans="1:6" x14ac:dyDescent="0.35">
      <c r="A85" t="s">
        <v>91</v>
      </c>
      <c r="B85" t="s">
        <v>92</v>
      </c>
      <c r="C85" s="3">
        <v>46354</v>
      </c>
      <c r="D85" t="s">
        <v>24</v>
      </c>
      <c r="E85" t="s">
        <v>23</v>
      </c>
      <c r="F85">
        <v>51091371.57</v>
      </c>
    </row>
    <row r="86" spans="1:6" x14ac:dyDescent="0.35">
      <c r="A86" t="s">
        <v>93</v>
      </c>
      <c r="B86" t="s">
        <v>94</v>
      </c>
      <c r="C86" s="3">
        <v>46323</v>
      </c>
      <c r="D86" t="s">
        <v>22</v>
      </c>
      <c r="E86" t="s">
        <v>27</v>
      </c>
      <c r="F86">
        <v>82454828.400000006</v>
      </c>
    </row>
    <row r="87" spans="1:6" x14ac:dyDescent="0.35">
      <c r="A87" t="s">
        <v>93</v>
      </c>
      <c r="B87" t="s">
        <v>94</v>
      </c>
      <c r="C87" s="3">
        <v>46354</v>
      </c>
      <c r="D87" t="s">
        <v>24</v>
      </c>
      <c r="E87" t="s">
        <v>27</v>
      </c>
      <c r="F87">
        <v>64320965.259999998</v>
      </c>
    </row>
    <row r="88" spans="1:6" x14ac:dyDescent="0.35">
      <c r="A88" t="s">
        <v>95</v>
      </c>
      <c r="B88" t="s">
        <v>96</v>
      </c>
      <c r="C88" s="3">
        <v>46323</v>
      </c>
      <c r="D88" t="s">
        <v>22</v>
      </c>
      <c r="E88" t="s">
        <v>30</v>
      </c>
      <c r="F88">
        <v>52244915.640000001</v>
      </c>
    </row>
    <row r="89" spans="1:6" x14ac:dyDescent="0.35">
      <c r="A89" t="s">
        <v>95</v>
      </c>
      <c r="B89" t="s">
        <v>96</v>
      </c>
      <c r="C89" s="3">
        <v>46354</v>
      </c>
      <c r="D89" t="s">
        <v>24</v>
      </c>
      <c r="E89" t="s">
        <v>30</v>
      </c>
      <c r="F89">
        <v>37478876.560000002</v>
      </c>
    </row>
    <row r="90" spans="1:6" x14ac:dyDescent="0.35">
      <c r="A90" t="s">
        <v>97</v>
      </c>
      <c r="B90" t="s">
        <v>98</v>
      </c>
      <c r="C90" s="3">
        <v>46323</v>
      </c>
      <c r="D90" t="s">
        <v>22</v>
      </c>
      <c r="E90" t="s">
        <v>23</v>
      </c>
      <c r="F90">
        <v>22300246.120000001</v>
      </c>
    </row>
    <row r="91" spans="1:6" x14ac:dyDescent="0.35">
      <c r="A91" t="s">
        <v>97</v>
      </c>
      <c r="B91" t="s">
        <v>98</v>
      </c>
      <c r="C91" s="3">
        <v>46354</v>
      </c>
      <c r="D91" t="s">
        <v>24</v>
      </c>
      <c r="E91" t="s">
        <v>23</v>
      </c>
      <c r="F91">
        <v>6543754.6299999999</v>
      </c>
    </row>
    <row r="92" spans="1:6" x14ac:dyDescent="0.35">
      <c r="A92" t="s">
        <v>99</v>
      </c>
      <c r="B92" t="s">
        <v>100</v>
      </c>
      <c r="C92" s="3">
        <v>46323</v>
      </c>
      <c r="D92" t="s">
        <v>22</v>
      </c>
      <c r="E92" t="s">
        <v>27</v>
      </c>
      <c r="F92">
        <v>60656425.280000001</v>
      </c>
    </row>
    <row r="93" spans="1:6" x14ac:dyDescent="0.35">
      <c r="A93" t="s">
        <v>99</v>
      </c>
      <c r="B93" t="s">
        <v>100</v>
      </c>
      <c r="C93" s="3">
        <v>46354</v>
      </c>
      <c r="D93" t="s">
        <v>24</v>
      </c>
      <c r="E93" t="s">
        <v>27</v>
      </c>
      <c r="F93">
        <v>48420543.689999998</v>
      </c>
    </row>
    <row r="94" spans="1:6" x14ac:dyDescent="0.35">
      <c r="A94" t="s">
        <v>101</v>
      </c>
      <c r="B94" t="s">
        <v>102</v>
      </c>
      <c r="C94" s="3">
        <v>46323</v>
      </c>
      <c r="D94" t="s">
        <v>22</v>
      </c>
      <c r="E94" t="s">
        <v>30</v>
      </c>
      <c r="F94">
        <v>8796729.7799999993</v>
      </c>
    </row>
    <row r="95" spans="1:6" x14ac:dyDescent="0.35">
      <c r="A95" t="s">
        <v>101</v>
      </c>
      <c r="B95" t="s">
        <v>102</v>
      </c>
      <c r="C95" s="3">
        <v>46354</v>
      </c>
      <c r="D95" t="s">
        <v>24</v>
      </c>
      <c r="E95" t="s">
        <v>30</v>
      </c>
      <c r="F95">
        <v>11196159.18</v>
      </c>
    </row>
    <row r="96" spans="1:6" x14ac:dyDescent="0.35">
      <c r="A96" t="s">
        <v>103</v>
      </c>
      <c r="B96" t="s">
        <v>104</v>
      </c>
      <c r="C96" s="3">
        <v>46323</v>
      </c>
      <c r="D96" t="s">
        <v>22</v>
      </c>
      <c r="E96" t="s">
        <v>23</v>
      </c>
      <c r="F96">
        <v>65230340.359999999</v>
      </c>
    </row>
    <row r="97" spans="1:6" x14ac:dyDescent="0.35">
      <c r="A97" t="s">
        <v>103</v>
      </c>
      <c r="B97" t="s">
        <v>104</v>
      </c>
      <c r="C97" s="3">
        <v>46354</v>
      </c>
      <c r="D97" t="s">
        <v>24</v>
      </c>
      <c r="E97" t="s">
        <v>23</v>
      </c>
      <c r="F97">
        <v>53475150.689999998</v>
      </c>
    </row>
    <row r="98" spans="1:6" x14ac:dyDescent="0.35">
      <c r="A98" t="s">
        <v>105</v>
      </c>
      <c r="B98" t="s">
        <v>106</v>
      </c>
      <c r="C98" s="3">
        <v>46323</v>
      </c>
      <c r="D98" t="s">
        <v>22</v>
      </c>
      <c r="E98" t="s">
        <v>27</v>
      </c>
      <c r="F98">
        <v>74342745.420000002</v>
      </c>
    </row>
    <row r="99" spans="1:6" x14ac:dyDescent="0.35">
      <c r="A99" t="s">
        <v>105</v>
      </c>
      <c r="B99" t="s">
        <v>106</v>
      </c>
      <c r="C99" s="3">
        <v>46354</v>
      </c>
      <c r="D99" t="s">
        <v>24</v>
      </c>
      <c r="E99" t="s">
        <v>27</v>
      </c>
      <c r="F99">
        <v>61697056.979999997</v>
      </c>
    </row>
    <row r="100" spans="1:6" x14ac:dyDescent="0.35">
      <c r="A100" t="s">
        <v>107</v>
      </c>
      <c r="B100" t="s">
        <v>108</v>
      </c>
      <c r="C100" s="3">
        <v>46323</v>
      </c>
      <c r="D100" t="s">
        <v>22</v>
      </c>
      <c r="E100" t="s">
        <v>30</v>
      </c>
      <c r="F100">
        <v>5456248.0800000001</v>
      </c>
    </row>
    <row r="101" spans="1:6" x14ac:dyDescent="0.35">
      <c r="A101" t="s">
        <v>107</v>
      </c>
      <c r="B101" t="s">
        <v>108</v>
      </c>
      <c r="C101" s="3">
        <v>46354</v>
      </c>
      <c r="D101" t="s">
        <v>24</v>
      </c>
      <c r="E101" t="s">
        <v>30</v>
      </c>
      <c r="F101">
        <v>29211482.559999999</v>
      </c>
    </row>
    <row r="102" spans="1:6" x14ac:dyDescent="0.35">
      <c r="A102" t="s">
        <v>109</v>
      </c>
      <c r="B102" t="s">
        <v>110</v>
      </c>
      <c r="C102" s="3">
        <v>46323</v>
      </c>
      <c r="D102" t="s">
        <v>22</v>
      </c>
      <c r="E102" t="s">
        <v>23</v>
      </c>
      <c r="F102">
        <v>32791843.57</v>
      </c>
    </row>
    <row r="103" spans="1:6" x14ac:dyDescent="0.35">
      <c r="A103" t="s">
        <v>109</v>
      </c>
      <c r="B103" t="s">
        <v>110</v>
      </c>
      <c r="C103" s="3">
        <v>46354</v>
      </c>
      <c r="D103" t="s">
        <v>24</v>
      </c>
      <c r="E103" t="s">
        <v>23</v>
      </c>
      <c r="F103">
        <v>48627928.890000001</v>
      </c>
    </row>
    <row r="104" spans="1:6" x14ac:dyDescent="0.35">
      <c r="A104" t="s">
        <v>111</v>
      </c>
      <c r="B104" t="s">
        <v>112</v>
      </c>
      <c r="C104" s="3">
        <v>46323</v>
      </c>
      <c r="D104" t="s">
        <v>22</v>
      </c>
      <c r="E104" t="s">
        <v>27</v>
      </c>
      <c r="F104">
        <v>25556896.34</v>
      </c>
    </row>
    <row r="105" spans="1:6" x14ac:dyDescent="0.35">
      <c r="A105" t="s">
        <v>111</v>
      </c>
      <c r="B105" t="s">
        <v>112</v>
      </c>
      <c r="C105" s="3">
        <v>46354</v>
      </c>
      <c r="D105" t="s">
        <v>24</v>
      </c>
      <c r="E105" t="s">
        <v>27</v>
      </c>
      <c r="F105">
        <v>73735380.099999994</v>
      </c>
    </row>
    <row r="106" spans="1:6" x14ac:dyDescent="0.35">
      <c r="A106" t="s">
        <v>113</v>
      </c>
      <c r="B106" t="s">
        <v>114</v>
      </c>
      <c r="C106" s="3">
        <v>46323</v>
      </c>
      <c r="D106" t="s">
        <v>22</v>
      </c>
      <c r="E106" t="s">
        <v>30</v>
      </c>
      <c r="F106">
        <v>86040648.540000007</v>
      </c>
    </row>
    <row r="107" spans="1:6" x14ac:dyDescent="0.35">
      <c r="A107" t="s">
        <v>113</v>
      </c>
      <c r="B107" t="s">
        <v>114</v>
      </c>
      <c r="C107" s="3">
        <v>46354</v>
      </c>
      <c r="D107" t="s">
        <v>24</v>
      </c>
      <c r="E107" t="s">
        <v>30</v>
      </c>
      <c r="F107">
        <v>30050185.82</v>
      </c>
    </row>
    <row r="108" spans="1:6" x14ac:dyDescent="0.35">
      <c r="A108" t="s">
        <v>115</v>
      </c>
      <c r="B108" t="s">
        <v>116</v>
      </c>
      <c r="C108" s="3">
        <v>46323</v>
      </c>
      <c r="D108" t="s">
        <v>22</v>
      </c>
      <c r="E108" t="s">
        <v>23</v>
      </c>
      <c r="F108">
        <v>44580060.840000004</v>
      </c>
    </row>
    <row r="109" spans="1:6" x14ac:dyDescent="0.35">
      <c r="A109" t="s">
        <v>115</v>
      </c>
      <c r="B109" t="s">
        <v>116</v>
      </c>
      <c r="C109" s="3">
        <v>46354</v>
      </c>
      <c r="D109" t="s">
        <v>24</v>
      </c>
      <c r="E109" t="s">
        <v>23</v>
      </c>
      <c r="F109">
        <v>24936704.719999999</v>
      </c>
    </row>
    <row r="110" spans="1:6" x14ac:dyDescent="0.35">
      <c r="A110" t="s">
        <v>117</v>
      </c>
      <c r="B110" t="s">
        <v>118</v>
      </c>
      <c r="C110" s="3">
        <v>46323</v>
      </c>
      <c r="D110" t="s">
        <v>22</v>
      </c>
      <c r="E110" t="s">
        <v>27</v>
      </c>
      <c r="F110">
        <v>24927645.719999999</v>
      </c>
    </row>
    <row r="111" spans="1:6" x14ac:dyDescent="0.35">
      <c r="A111" t="s">
        <v>117</v>
      </c>
      <c r="B111" t="s">
        <v>118</v>
      </c>
      <c r="C111" s="3">
        <v>46354</v>
      </c>
      <c r="D111" t="s">
        <v>24</v>
      </c>
      <c r="E111" t="s">
        <v>27</v>
      </c>
      <c r="F111">
        <v>87564029.290000007</v>
      </c>
    </row>
    <row r="112" spans="1:6" x14ac:dyDescent="0.35">
      <c r="A112" t="s">
        <v>119</v>
      </c>
      <c r="B112" t="s">
        <v>120</v>
      </c>
      <c r="C112" s="3">
        <v>46323</v>
      </c>
      <c r="D112" t="s">
        <v>22</v>
      </c>
      <c r="E112" t="s">
        <v>30</v>
      </c>
      <c r="F112">
        <v>31625734.030000001</v>
      </c>
    </row>
    <row r="113" spans="1:6" x14ac:dyDescent="0.35">
      <c r="A113" t="s">
        <v>119</v>
      </c>
      <c r="B113" t="s">
        <v>120</v>
      </c>
      <c r="C113" s="3">
        <v>46354</v>
      </c>
      <c r="D113" t="s">
        <v>24</v>
      </c>
      <c r="E113" t="s">
        <v>30</v>
      </c>
      <c r="F113">
        <v>67668762.370000005</v>
      </c>
    </row>
    <row r="114" spans="1:6" x14ac:dyDescent="0.35">
      <c r="A114" t="s">
        <v>121</v>
      </c>
      <c r="B114" t="s">
        <v>122</v>
      </c>
      <c r="C114" s="3">
        <v>46323</v>
      </c>
      <c r="D114" t="s">
        <v>22</v>
      </c>
      <c r="E114" t="s">
        <v>23</v>
      </c>
      <c r="F114">
        <v>47998882.390000001</v>
      </c>
    </row>
    <row r="115" spans="1:6" x14ac:dyDescent="0.35">
      <c r="A115" t="s">
        <v>121</v>
      </c>
      <c r="B115" t="s">
        <v>122</v>
      </c>
      <c r="C115" s="3">
        <v>46354</v>
      </c>
      <c r="D115" t="s">
        <v>24</v>
      </c>
      <c r="E115" t="s">
        <v>23</v>
      </c>
      <c r="F115">
        <v>76396812.010000005</v>
      </c>
    </row>
    <row r="116" spans="1:6" x14ac:dyDescent="0.35">
      <c r="A116" t="s">
        <v>123</v>
      </c>
      <c r="B116" t="s">
        <v>124</v>
      </c>
      <c r="C116" s="3">
        <v>46323</v>
      </c>
      <c r="D116" t="s">
        <v>22</v>
      </c>
      <c r="E116" t="s">
        <v>27</v>
      </c>
      <c r="F116">
        <v>82354167.019999996</v>
      </c>
    </row>
    <row r="117" spans="1:6" x14ac:dyDescent="0.35">
      <c r="A117" t="s">
        <v>123</v>
      </c>
      <c r="B117" t="s">
        <v>124</v>
      </c>
      <c r="C117" s="3">
        <v>46354</v>
      </c>
      <c r="D117" t="s">
        <v>24</v>
      </c>
      <c r="E117" t="s">
        <v>27</v>
      </c>
      <c r="F117">
        <v>24848706.600000001</v>
      </c>
    </row>
    <row r="118" spans="1:6" x14ac:dyDescent="0.35">
      <c r="A118" t="s">
        <v>125</v>
      </c>
      <c r="B118" t="s">
        <v>126</v>
      </c>
      <c r="C118" s="3">
        <v>46323</v>
      </c>
      <c r="D118" t="s">
        <v>22</v>
      </c>
      <c r="E118" t="s">
        <v>30</v>
      </c>
      <c r="F118">
        <v>15751321.529999999</v>
      </c>
    </row>
    <row r="119" spans="1:6" x14ac:dyDescent="0.35">
      <c r="A119" t="s">
        <v>125</v>
      </c>
      <c r="B119" t="s">
        <v>126</v>
      </c>
      <c r="C119" s="3">
        <v>46354</v>
      </c>
      <c r="D119" t="s">
        <v>24</v>
      </c>
      <c r="E119" t="s">
        <v>30</v>
      </c>
      <c r="F119">
        <v>73944774.760000005</v>
      </c>
    </row>
    <row r="120" spans="1:6" x14ac:dyDescent="0.35">
      <c r="A120" t="s">
        <v>127</v>
      </c>
      <c r="B120" t="s">
        <v>128</v>
      </c>
      <c r="C120" s="3">
        <v>46323</v>
      </c>
      <c r="D120" t="s">
        <v>22</v>
      </c>
      <c r="E120" t="s">
        <v>23</v>
      </c>
      <c r="F120">
        <v>36824327.5</v>
      </c>
    </row>
    <row r="121" spans="1:6" x14ac:dyDescent="0.35">
      <c r="A121" t="s">
        <v>127</v>
      </c>
      <c r="B121" t="s">
        <v>128</v>
      </c>
      <c r="C121" s="3">
        <v>46354</v>
      </c>
      <c r="D121" t="s">
        <v>24</v>
      </c>
      <c r="E121" t="s">
        <v>23</v>
      </c>
      <c r="F121">
        <v>79948858.980000004</v>
      </c>
    </row>
    <row r="122" spans="1:6" x14ac:dyDescent="0.35">
      <c r="A122" t="s">
        <v>129</v>
      </c>
      <c r="B122" t="s">
        <v>130</v>
      </c>
      <c r="C122" s="3">
        <v>46323</v>
      </c>
      <c r="D122" t="s">
        <v>22</v>
      </c>
      <c r="E122" t="s">
        <v>27</v>
      </c>
      <c r="F122">
        <v>61282309.090000004</v>
      </c>
    </row>
    <row r="123" spans="1:6" x14ac:dyDescent="0.35">
      <c r="A123" t="s">
        <v>129</v>
      </c>
      <c r="B123" t="s">
        <v>130</v>
      </c>
      <c r="C123" s="3">
        <v>46354</v>
      </c>
      <c r="D123" t="s">
        <v>24</v>
      </c>
      <c r="E123" t="s">
        <v>27</v>
      </c>
      <c r="F123">
        <v>425008.38</v>
      </c>
    </row>
    <row r="124" spans="1:6" x14ac:dyDescent="0.35">
      <c r="A124" t="s">
        <v>131</v>
      </c>
      <c r="B124" t="s">
        <v>132</v>
      </c>
      <c r="C124" s="3">
        <v>46323</v>
      </c>
      <c r="D124" t="s">
        <v>22</v>
      </c>
      <c r="E124" t="s">
        <v>30</v>
      </c>
      <c r="F124">
        <v>17844153.420000002</v>
      </c>
    </row>
    <row r="125" spans="1:6" x14ac:dyDescent="0.35">
      <c r="A125" t="s">
        <v>131</v>
      </c>
      <c r="B125" t="s">
        <v>132</v>
      </c>
      <c r="C125" s="3">
        <v>46354</v>
      </c>
      <c r="D125" t="s">
        <v>24</v>
      </c>
      <c r="E125" t="s">
        <v>30</v>
      </c>
      <c r="F125">
        <v>86630357.010000005</v>
      </c>
    </row>
    <row r="126" spans="1:6" x14ac:dyDescent="0.35">
      <c r="A126" t="s">
        <v>133</v>
      </c>
      <c r="B126" t="s">
        <v>134</v>
      </c>
      <c r="C126" s="3">
        <v>46323</v>
      </c>
      <c r="D126" t="s">
        <v>22</v>
      </c>
      <c r="E126" t="s">
        <v>23</v>
      </c>
      <c r="F126">
        <v>84508736.430000007</v>
      </c>
    </row>
    <row r="127" spans="1:6" x14ac:dyDescent="0.35">
      <c r="A127" t="s">
        <v>133</v>
      </c>
      <c r="B127" t="s">
        <v>134</v>
      </c>
      <c r="C127" s="3">
        <v>46354</v>
      </c>
      <c r="D127" t="s">
        <v>24</v>
      </c>
      <c r="E127" t="s">
        <v>23</v>
      </c>
      <c r="F127">
        <v>68335644.519999996</v>
      </c>
    </row>
    <row r="128" spans="1:6" x14ac:dyDescent="0.35">
      <c r="A128" t="s">
        <v>135</v>
      </c>
      <c r="B128" t="s">
        <v>136</v>
      </c>
      <c r="C128" s="3">
        <v>46323</v>
      </c>
      <c r="D128" t="s">
        <v>22</v>
      </c>
      <c r="E128" t="s">
        <v>27</v>
      </c>
      <c r="F128">
        <v>55405315.049999997</v>
      </c>
    </row>
    <row r="129" spans="1:6" x14ac:dyDescent="0.35">
      <c r="A129" t="s">
        <v>135</v>
      </c>
      <c r="B129" t="s">
        <v>136</v>
      </c>
      <c r="C129" s="3">
        <v>46354</v>
      </c>
      <c r="D129" t="s">
        <v>24</v>
      </c>
      <c r="E129" t="s">
        <v>27</v>
      </c>
      <c r="F129">
        <v>71261353.549999997</v>
      </c>
    </row>
    <row r="130" spans="1:6" x14ac:dyDescent="0.35">
      <c r="A130" t="s">
        <v>137</v>
      </c>
      <c r="B130" t="s">
        <v>138</v>
      </c>
      <c r="C130" s="3">
        <v>46323</v>
      </c>
      <c r="D130" t="s">
        <v>22</v>
      </c>
      <c r="E130" t="s">
        <v>30</v>
      </c>
      <c r="F130">
        <v>20778332.609999999</v>
      </c>
    </row>
    <row r="131" spans="1:6" x14ac:dyDescent="0.35">
      <c r="A131" t="s">
        <v>137</v>
      </c>
      <c r="B131" t="s">
        <v>138</v>
      </c>
      <c r="C131" s="3">
        <v>46354</v>
      </c>
      <c r="D131" t="s">
        <v>24</v>
      </c>
      <c r="E131" t="s">
        <v>30</v>
      </c>
      <c r="F131">
        <v>89472091</v>
      </c>
    </row>
    <row r="132" spans="1:6" x14ac:dyDescent="0.35">
      <c r="A132" t="s">
        <v>139</v>
      </c>
      <c r="B132" t="s">
        <v>140</v>
      </c>
      <c r="C132" s="3">
        <v>46323</v>
      </c>
      <c r="D132" t="s">
        <v>22</v>
      </c>
      <c r="E132" t="s">
        <v>23</v>
      </c>
      <c r="F132">
        <v>61561050.600000001</v>
      </c>
    </row>
    <row r="133" spans="1:6" x14ac:dyDescent="0.35">
      <c r="A133" t="s">
        <v>139</v>
      </c>
      <c r="B133" t="s">
        <v>140</v>
      </c>
      <c r="C133" s="3">
        <v>46354</v>
      </c>
      <c r="D133" t="s">
        <v>24</v>
      </c>
      <c r="E133" t="s">
        <v>23</v>
      </c>
      <c r="F133">
        <v>36557950.670000002</v>
      </c>
    </row>
    <row r="134" spans="1:6" x14ac:dyDescent="0.35">
      <c r="A134" t="s">
        <v>141</v>
      </c>
      <c r="B134" t="s">
        <v>142</v>
      </c>
      <c r="C134" s="3">
        <v>46323</v>
      </c>
      <c r="D134" t="s">
        <v>22</v>
      </c>
      <c r="E134" t="s">
        <v>27</v>
      </c>
      <c r="F134">
        <v>17852191.969999999</v>
      </c>
    </row>
    <row r="135" spans="1:6" x14ac:dyDescent="0.35">
      <c r="A135" t="s">
        <v>141</v>
      </c>
      <c r="B135" t="s">
        <v>142</v>
      </c>
      <c r="C135" s="3">
        <v>46354</v>
      </c>
      <c r="D135" t="s">
        <v>24</v>
      </c>
      <c r="E135" t="s">
        <v>27</v>
      </c>
      <c r="F135">
        <v>87212386</v>
      </c>
    </row>
    <row r="136" spans="1:6" x14ac:dyDescent="0.35">
      <c r="A136" t="s">
        <v>143</v>
      </c>
      <c r="B136" t="s">
        <v>144</v>
      </c>
      <c r="C136" s="3">
        <v>46323</v>
      </c>
      <c r="D136" t="s">
        <v>22</v>
      </c>
      <c r="E136" t="s">
        <v>30</v>
      </c>
      <c r="F136">
        <v>35239913.310000002</v>
      </c>
    </row>
    <row r="137" spans="1:6" x14ac:dyDescent="0.35">
      <c r="A137" t="s">
        <v>143</v>
      </c>
      <c r="B137" t="s">
        <v>144</v>
      </c>
      <c r="C137" s="3">
        <v>46354</v>
      </c>
      <c r="D137" t="s">
        <v>24</v>
      </c>
      <c r="E137" t="s">
        <v>30</v>
      </c>
      <c r="F137">
        <v>72878262.659999996</v>
      </c>
    </row>
    <row r="138" spans="1:6" x14ac:dyDescent="0.35">
      <c r="A138" t="s">
        <v>145</v>
      </c>
      <c r="B138" t="s">
        <v>146</v>
      </c>
      <c r="C138" s="3">
        <v>46323</v>
      </c>
      <c r="D138" t="s">
        <v>22</v>
      </c>
      <c r="E138" t="s">
        <v>23</v>
      </c>
      <c r="F138">
        <v>34703573.340000004</v>
      </c>
    </row>
    <row r="139" spans="1:6" x14ac:dyDescent="0.35">
      <c r="A139" t="s">
        <v>145</v>
      </c>
      <c r="B139" t="s">
        <v>146</v>
      </c>
      <c r="C139" s="3">
        <v>46354</v>
      </c>
      <c r="D139" t="s">
        <v>24</v>
      </c>
      <c r="E139" t="s">
        <v>23</v>
      </c>
      <c r="F139">
        <v>55185231.939999998</v>
      </c>
    </row>
    <row r="140" spans="1:6" x14ac:dyDescent="0.35">
      <c r="A140" t="s">
        <v>147</v>
      </c>
      <c r="B140" t="s">
        <v>148</v>
      </c>
      <c r="C140" s="3">
        <v>46323</v>
      </c>
      <c r="D140" t="s">
        <v>22</v>
      </c>
      <c r="E140" t="s">
        <v>27</v>
      </c>
      <c r="F140">
        <v>53688313.829999998</v>
      </c>
    </row>
    <row r="141" spans="1:6" x14ac:dyDescent="0.35">
      <c r="A141" t="s">
        <v>147</v>
      </c>
      <c r="B141" t="s">
        <v>148</v>
      </c>
      <c r="C141" s="3">
        <v>46354</v>
      </c>
      <c r="D141" t="s">
        <v>24</v>
      </c>
      <c r="E141" t="s">
        <v>27</v>
      </c>
      <c r="F141">
        <v>49305237.109999999</v>
      </c>
    </row>
    <row r="142" spans="1:6" x14ac:dyDescent="0.35">
      <c r="A142" t="s">
        <v>149</v>
      </c>
      <c r="B142" t="s">
        <v>150</v>
      </c>
      <c r="C142" s="3">
        <v>46323</v>
      </c>
      <c r="D142" t="s">
        <v>22</v>
      </c>
      <c r="E142" t="s">
        <v>30</v>
      </c>
      <c r="F142">
        <v>58722854.969999999</v>
      </c>
    </row>
    <row r="143" spans="1:6" x14ac:dyDescent="0.35">
      <c r="A143" t="s">
        <v>149</v>
      </c>
      <c r="B143" t="s">
        <v>150</v>
      </c>
      <c r="C143" s="3">
        <v>46354</v>
      </c>
      <c r="D143" t="s">
        <v>24</v>
      </c>
      <c r="E143" t="s">
        <v>30</v>
      </c>
      <c r="F143">
        <v>15116994.199999999</v>
      </c>
    </row>
    <row r="144" spans="1:6" x14ac:dyDescent="0.35">
      <c r="A144" t="s">
        <v>151</v>
      </c>
      <c r="B144" t="s">
        <v>152</v>
      </c>
      <c r="C144" s="3">
        <v>46323</v>
      </c>
      <c r="D144" t="s">
        <v>22</v>
      </c>
      <c r="E144" t="s">
        <v>23</v>
      </c>
      <c r="F144">
        <v>50422404.439999998</v>
      </c>
    </row>
    <row r="145" spans="1:6" x14ac:dyDescent="0.35">
      <c r="A145" t="s">
        <v>151</v>
      </c>
      <c r="B145" t="s">
        <v>152</v>
      </c>
      <c r="C145" s="3">
        <v>46354</v>
      </c>
      <c r="D145" t="s">
        <v>24</v>
      </c>
      <c r="E145" t="s">
        <v>23</v>
      </c>
      <c r="F145">
        <v>6111046.71</v>
      </c>
    </row>
    <row r="146" spans="1:6" x14ac:dyDescent="0.35">
      <c r="A146" t="s">
        <v>153</v>
      </c>
      <c r="B146" t="s">
        <v>154</v>
      </c>
      <c r="C146" s="3">
        <v>46323</v>
      </c>
      <c r="D146" t="s">
        <v>22</v>
      </c>
      <c r="E146" t="s">
        <v>27</v>
      </c>
      <c r="F146">
        <v>64523279.590000004</v>
      </c>
    </row>
    <row r="147" spans="1:6" x14ac:dyDescent="0.35">
      <c r="A147" t="s">
        <v>153</v>
      </c>
      <c r="B147" t="s">
        <v>154</v>
      </c>
      <c r="C147" s="3">
        <v>46354</v>
      </c>
      <c r="D147" t="s">
        <v>24</v>
      </c>
      <c r="E147" t="s">
        <v>27</v>
      </c>
      <c r="F147">
        <v>85817119.689999998</v>
      </c>
    </row>
    <row r="148" spans="1:6" x14ac:dyDescent="0.35">
      <c r="A148" t="s">
        <v>155</v>
      </c>
      <c r="B148" t="s">
        <v>156</v>
      </c>
      <c r="C148" s="3">
        <v>46323</v>
      </c>
      <c r="D148" t="s">
        <v>22</v>
      </c>
      <c r="E148" t="s">
        <v>30</v>
      </c>
      <c r="F148">
        <v>88553778.060000002</v>
      </c>
    </row>
    <row r="149" spans="1:6" x14ac:dyDescent="0.35">
      <c r="A149" t="s">
        <v>155</v>
      </c>
      <c r="B149" t="s">
        <v>156</v>
      </c>
      <c r="C149" s="3">
        <v>46354</v>
      </c>
      <c r="D149" t="s">
        <v>24</v>
      </c>
      <c r="E149" t="s">
        <v>30</v>
      </c>
      <c r="F149">
        <v>79189123.730000004</v>
      </c>
    </row>
    <row r="150" spans="1:6" x14ac:dyDescent="0.35">
      <c r="A150" t="s">
        <v>157</v>
      </c>
      <c r="B150" t="s">
        <v>158</v>
      </c>
      <c r="C150" s="3">
        <v>46323</v>
      </c>
      <c r="D150" t="s">
        <v>22</v>
      </c>
      <c r="E150" t="s">
        <v>23</v>
      </c>
      <c r="F150">
        <v>44944074.07</v>
      </c>
    </row>
    <row r="151" spans="1:6" x14ac:dyDescent="0.35">
      <c r="A151" t="s">
        <v>157</v>
      </c>
      <c r="B151" t="s">
        <v>158</v>
      </c>
      <c r="C151" s="3">
        <v>46354</v>
      </c>
      <c r="D151" t="s">
        <v>24</v>
      </c>
      <c r="E151" t="s">
        <v>23</v>
      </c>
      <c r="F151">
        <v>26527933.219999999</v>
      </c>
    </row>
    <row r="152" spans="1:6" x14ac:dyDescent="0.35">
      <c r="A152" t="s">
        <v>159</v>
      </c>
      <c r="B152" t="s">
        <v>160</v>
      </c>
      <c r="C152" s="3">
        <v>46323</v>
      </c>
      <c r="D152" t="s">
        <v>22</v>
      </c>
      <c r="E152" t="s">
        <v>27</v>
      </c>
      <c r="F152">
        <v>14397456.960000001</v>
      </c>
    </row>
    <row r="153" spans="1:6" x14ac:dyDescent="0.35">
      <c r="A153" t="s">
        <v>159</v>
      </c>
      <c r="B153" t="s">
        <v>160</v>
      </c>
      <c r="C153" s="3">
        <v>46354</v>
      </c>
      <c r="D153" t="s">
        <v>24</v>
      </c>
      <c r="E153" t="s">
        <v>27</v>
      </c>
      <c r="F153">
        <v>43921478.719999999</v>
      </c>
    </row>
    <row r="154" spans="1:6" x14ac:dyDescent="0.35">
      <c r="A154" t="s">
        <v>161</v>
      </c>
      <c r="B154" t="s">
        <v>162</v>
      </c>
      <c r="C154" s="3">
        <v>46323</v>
      </c>
      <c r="D154" t="s">
        <v>22</v>
      </c>
      <c r="E154" t="s">
        <v>30</v>
      </c>
      <c r="F154">
        <v>46008027.399999999</v>
      </c>
    </row>
    <row r="155" spans="1:6" x14ac:dyDescent="0.35">
      <c r="A155" t="s">
        <v>161</v>
      </c>
      <c r="B155" t="s">
        <v>162</v>
      </c>
      <c r="C155" s="3">
        <v>46354</v>
      </c>
      <c r="D155" t="s">
        <v>24</v>
      </c>
      <c r="E155" t="s">
        <v>30</v>
      </c>
      <c r="F155">
        <v>72943388.640000001</v>
      </c>
    </row>
    <row r="156" spans="1:6" x14ac:dyDescent="0.35">
      <c r="A156" t="s">
        <v>163</v>
      </c>
      <c r="B156" t="s">
        <v>164</v>
      </c>
      <c r="C156" s="3">
        <v>46323</v>
      </c>
      <c r="D156" t="s">
        <v>22</v>
      </c>
      <c r="E156" t="s">
        <v>23</v>
      </c>
      <c r="F156">
        <v>56928382.579999998</v>
      </c>
    </row>
    <row r="157" spans="1:6" x14ac:dyDescent="0.35">
      <c r="A157" t="s">
        <v>163</v>
      </c>
      <c r="B157" t="s">
        <v>164</v>
      </c>
      <c r="C157" s="3">
        <v>46354</v>
      </c>
      <c r="D157" t="s">
        <v>24</v>
      </c>
      <c r="E157" t="s">
        <v>23</v>
      </c>
      <c r="F157">
        <v>68275491.299999997</v>
      </c>
    </row>
    <row r="158" spans="1:6" x14ac:dyDescent="0.35">
      <c r="A158" t="s">
        <v>165</v>
      </c>
      <c r="B158" t="s">
        <v>166</v>
      </c>
      <c r="C158" s="3">
        <v>46323</v>
      </c>
      <c r="D158" t="s">
        <v>22</v>
      </c>
      <c r="E158" t="s">
        <v>27</v>
      </c>
      <c r="F158">
        <v>76263434.739999995</v>
      </c>
    </row>
    <row r="159" spans="1:6" x14ac:dyDescent="0.35">
      <c r="A159" t="s">
        <v>165</v>
      </c>
      <c r="B159" t="s">
        <v>166</v>
      </c>
      <c r="C159" s="3">
        <v>46354</v>
      </c>
      <c r="D159" t="s">
        <v>24</v>
      </c>
      <c r="E159" t="s">
        <v>27</v>
      </c>
      <c r="F159">
        <v>50717974.759999998</v>
      </c>
    </row>
    <row r="160" spans="1:6" x14ac:dyDescent="0.35">
      <c r="A160" t="s">
        <v>167</v>
      </c>
      <c r="B160" t="s">
        <v>168</v>
      </c>
      <c r="C160" s="3">
        <v>46323</v>
      </c>
      <c r="D160" t="s">
        <v>22</v>
      </c>
      <c r="E160" t="s">
        <v>30</v>
      </c>
      <c r="F160">
        <v>96500</v>
      </c>
    </row>
    <row r="161" spans="1:6" x14ac:dyDescent="0.35">
      <c r="A161" t="s">
        <v>167</v>
      </c>
      <c r="B161" t="s">
        <v>168</v>
      </c>
      <c r="C161" s="3">
        <v>46354</v>
      </c>
      <c r="D161" t="s">
        <v>24</v>
      </c>
      <c r="E161" t="s">
        <v>30</v>
      </c>
      <c r="F161">
        <v>100360</v>
      </c>
    </row>
    <row r="162" spans="1:6" x14ac:dyDescent="0.35">
      <c r="A162" t="s">
        <v>169</v>
      </c>
      <c r="B162" t="s">
        <v>170</v>
      </c>
      <c r="C162" s="3">
        <v>46323</v>
      </c>
      <c r="D162" t="s">
        <v>22</v>
      </c>
      <c r="E162" t="s">
        <v>23</v>
      </c>
      <c r="F162">
        <v>22678206.440000001</v>
      </c>
    </row>
    <row r="163" spans="1:6" x14ac:dyDescent="0.35">
      <c r="A163" t="s">
        <v>169</v>
      </c>
      <c r="B163" t="s">
        <v>170</v>
      </c>
      <c r="C163" s="3">
        <v>46354</v>
      </c>
      <c r="D163" t="s">
        <v>24</v>
      </c>
      <c r="E163" t="s">
        <v>23</v>
      </c>
      <c r="F163">
        <v>39955817.539999999</v>
      </c>
    </row>
    <row r="164" spans="1:6" x14ac:dyDescent="0.35">
      <c r="A164" t="s">
        <v>171</v>
      </c>
      <c r="B164" t="s">
        <v>172</v>
      </c>
      <c r="C164" s="3">
        <v>46323</v>
      </c>
      <c r="D164" t="s">
        <v>22</v>
      </c>
      <c r="E164" t="s">
        <v>27</v>
      </c>
      <c r="F164">
        <v>26981286.66</v>
      </c>
    </row>
    <row r="165" spans="1:6" x14ac:dyDescent="0.35">
      <c r="A165" t="s">
        <v>171</v>
      </c>
      <c r="B165" t="s">
        <v>172</v>
      </c>
      <c r="C165" s="3">
        <v>46354</v>
      </c>
      <c r="D165" t="s">
        <v>24</v>
      </c>
      <c r="E165" t="s">
        <v>27</v>
      </c>
      <c r="F165">
        <v>74645030.890000001</v>
      </c>
    </row>
    <row r="166" spans="1:6" x14ac:dyDescent="0.35">
      <c r="A166" t="s">
        <v>173</v>
      </c>
      <c r="B166" t="s">
        <v>174</v>
      </c>
      <c r="C166" s="3">
        <v>46323</v>
      </c>
      <c r="D166" t="s">
        <v>22</v>
      </c>
      <c r="E166" t="s">
        <v>30</v>
      </c>
      <c r="F166">
        <v>48703739.229999997</v>
      </c>
    </row>
    <row r="167" spans="1:6" x14ac:dyDescent="0.35">
      <c r="A167" t="s">
        <v>173</v>
      </c>
      <c r="B167" t="s">
        <v>174</v>
      </c>
      <c r="C167" s="3">
        <v>46354</v>
      </c>
      <c r="D167" t="s">
        <v>24</v>
      </c>
      <c r="E167" t="s">
        <v>30</v>
      </c>
      <c r="F167">
        <v>87208851.950000003</v>
      </c>
    </row>
    <row r="168" spans="1:6" x14ac:dyDescent="0.35">
      <c r="A168" t="s">
        <v>175</v>
      </c>
      <c r="B168" t="s">
        <v>176</v>
      </c>
      <c r="C168" s="3">
        <v>46323</v>
      </c>
      <c r="D168" t="s">
        <v>22</v>
      </c>
      <c r="E168" t="s">
        <v>23</v>
      </c>
      <c r="F168">
        <v>87982127.430000007</v>
      </c>
    </row>
    <row r="169" spans="1:6" x14ac:dyDescent="0.35">
      <c r="A169" t="s">
        <v>175</v>
      </c>
      <c r="B169" t="s">
        <v>176</v>
      </c>
      <c r="C169" s="3">
        <v>46354</v>
      </c>
      <c r="D169" t="s">
        <v>24</v>
      </c>
      <c r="E169" t="s">
        <v>23</v>
      </c>
      <c r="F169">
        <v>85332051.780000001</v>
      </c>
    </row>
    <row r="170" spans="1:6" x14ac:dyDescent="0.35">
      <c r="A170" t="s">
        <v>177</v>
      </c>
      <c r="B170" t="s">
        <v>178</v>
      </c>
      <c r="C170" s="3">
        <v>46323</v>
      </c>
      <c r="D170" t="s">
        <v>22</v>
      </c>
      <c r="E170" t="s">
        <v>27</v>
      </c>
      <c r="F170">
        <v>1759551.24</v>
      </c>
    </row>
    <row r="171" spans="1:6" x14ac:dyDescent="0.35">
      <c r="A171" t="s">
        <v>177</v>
      </c>
      <c r="B171" t="s">
        <v>178</v>
      </c>
      <c r="C171" s="3">
        <v>46354</v>
      </c>
      <c r="D171" t="s">
        <v>24</v>
      </c>
      <c r="E171" t="s">
        <v>27</v>
      </c>
      <c r="F171">
        <v>5681350.1200000001</v>
      </c>
    </row>
    <row r="172" spans="1:6" x14ac:dyDescent="0.35">
      <c r="A172" t="s">
        <v>179</v>
      </c>
      <c r="B172" t="s">
        <v>180</v>
      </c>
      <c r="C172" s="3">
        <v>46323</v>
      </c>
      <c r="D172" t="s">
        <v>22</v>
      </c>
      <c r="E172" t="s">
        <v>30</v>
      </c>
      <c r="F172">
        <v>41714663.979999997</v>
      </c>
    </row>
    <row r="173" spans="1:6" x14ac:dyDescent="0.35">
      <c r="A173" t="s">
        <v>179</v>
      </c>
      <c r="B173" t="s">
        <v>180</v>
      </c>
      <c r="C173" s="3">
        <v>46354</v>
      </c>
      <c r="D173" t="s">
        <v>24</v>
      </c>
      <c r="E173" t="s">
        <v>30</v>
      </c>
      <c r="F173">
        <v>69588529.329999998</v>
      </c>
    </row>
    <row r="174" spans="1:6" x14ac:dyDescent="0.35">
      <c r="A174" t="s">
        <v>181</v>
      </c>
      <c r="B174" t="s">
        <v>182</v>
      </c>
      <c r="C174" s="3">
        <v>46323</v>
      </c>
      <c r="D174" t="s">
        <v>22</v>
      </c>
      <c r="E174" t="s">
        <v>23</v>
      </c>
      <c r="F174">
        <v>80125063.129999995</v>
      </c>
    </row>
    <row r="175" spans="1:6" x14ac:dyDescent="0.35">
      <c r="A175" t="s">
        <v>181</v>
      </c>
      <c r="B175" t="s">
        <v>182</v>
      </c>
      <c r="C175" s="3">
        <v>46354</v>
      </c>
      <c r="D175" t="s">
        <v>24</v>
      </c>
      <c r="E175" t="s">
        <v>23</v>
      </c>
      <c r="F175">
        <v>74070095.739999995</v>
      </c>
    </row>
    <row r="176" spans="1:6" x14ac:dyDescent="0.35">
      <c r="A176" t="s">
        <v>183</v>
      </c>
      <c r="B176" t="s">
        <v>184</v>
      </c>
      <c r="C176" s="3">
        <v>46323</v>
      </c>
      <c r="D176" t="s">
        <v>22</v>
      </c>
      <c r="E176" t="s">
        <v>27</v>
      </c>
      <c r="F176">
        <v>54514335.130000003</v>
      </c>
    </row>
    <row r="177" spans="1:6" x14ac:dyDescent="0.35">
      <c r="A177" t="s">
        <v>183</v>
      </c>
      <c r="B177" t="s">
        <v>184</v>
      </c>
      <c r="C177" s="3">
        <v>46354</v>
      </c>
      <c r="D177" t="s">
        <v>24</v>
      </c>
      <c r="E177" t="s">
        <v>27</v>
      </c>
      <c r="F177">
        <v>76084148.590000004</v>
      </c>
    </row>
    <row r="178" spans="1:6" x14ac:dyDescent="0.35">
      <c r="A178" t="s">
        <v>185</v>
      </c>
      <c r="B178" t="s">
        <v>186</v>
      </c>
      <c r="C178" s="3">
        <v>46323</v>
      </c>
      <c r="D178" t="s">
        <v>22</v>
      </c>
      <c r="E178" t="s">
        <v>30</v>
      </c>
      <c r="F178">
        <v>13124662.84</v>
      </c>
    </row>
    <row r="179" spans="1:6" x14ac:dyDescent="0.35">
      <c r="A179" t="s">
        <v>185</v>
      </c>
      <c r="B179" t="s">
        <v>186</v>
      </c>
      <c r="C179" s="3">
        <v>46354</v>
      </c>
      <c r="D179" t="s">
        <v>24</v>
      </c>
      <c r="E179" t="s">
        <v>30</v>
      </c>
      <c r="F179">
        <v>32361355.23</v>
      </c>
    </row>
    <row r="180" spans="1:6" x14ac:dyDescent="0.35">
      <c r="A180" t="s">
        <v>187</v>
      </c>
      <c r="B180" t="s">
        <v>188</v>
      </c>
      <c r="C180" s="3">
        <v>46323</v>
      </c>
      <c r="D180" t="s">
        <v>22</v>
      </c>
      <c r="E180" t="s">
        <v>23</v>
      </c>
      <c r="F180">
        <v>50819477.340000004</v>
      </c>
    </row>
    <row r="181" spans="1:6" x14ac:dyDescent="0.35">
      <c r="A181" t="s">
        <v>187</v>
      </c>
      <c r="B181" t="s">
        <v>188</v>
      </c>
      <c r="C181" s="3">
        <v>46354</v>
      </c>
      <c r="D181" t="s">
        <v>24</v>
      </c>
      <c r="E181" t="s">
        <v>23</v>
      </c>
      <c r="F181">
        <v>6817317.0599999996</v>
      </c>
    </row>
    <row r="182" spans="1:6" x14ac:dyDescent="0.35">
      <c r="A182" t="s">
        <v>189</v>
      </c>
      <c r="B182" t="s">
        <v>190</v>
      </c>
      <c r="C182" s="3">
        <v>46323</v>
      </c>
      <c r="D182" t="s">
        <v>22</v>
      </c>
      <c r="E182" t="s">
        <v>27</v>
      </c>
      <c r="F182">
        <v>89241813.030000001</v>
      </c>
    </row>
    <row r="183" spans="1:6" x14ac:dyDescent="0.35">
      <c r="A183" t="s">
        <v>189</v>
      </c>
      <c r="B183" t="s">
        <v>190</v>
      </c>
      <c r="C183" s="3">
        <v>46354</v>
      </c>
      <c r="D183" t="s">
        <v>24</v>
      </c>
      <c r="E183" t="s">
        <v>27</v>
      </c>
      <c r="F183">
        <v>21842666.469999999</v>
      </c>
    </row>
    <row r="184" spans="1:6" x14ac:dyDescent="0.35">
      <c r="A184" t="s">
        <v>191</v>
      </c>
      <c r="B184" t="s">
        <v>192</v>
      </c>
      <c r="C184" s="3">
        <v>46323</v>
      </c>
      <c r="D184" t="s">
        <v>22</v>
      </c>
      <c r="E184" t="s">
        <v>30</v>
      </c>
      <c r="F184">
        <v>40108307.229999997</v>
      </c>
    </row>
    <row r="185" spans="1:6" x14ac:dyDescent="0.35">
      <c r="A185" t="s">
        <v>191</v>
      </c>
      <c r="B185" t="s">
        <v>192</v>
      </c>
      <c r="C185" s="3">
        <v>46354</v>
      </c>
      <c r="D185" t="s">
        <v>24</v>
      </c>
      <c r="E185" t="s">
        <v>30</v>
      </c>
      <c r="F185">
        <v>10047100.189999999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workbookViewId="0"/>
  </sheetViews>
  <sheetFormatPr defaultRowHeight="14.5" x14ac:dyDescent="0.35"/>
  <sheetData>
    <row r="1" spans="1:9" x14ac:dyDescent="0.35">
      <c r="A1" s="1" t="s">
        <v>193</v>
      </c>
    </row>
    <row r="2" spans="1:9" x14ac:dyDescent="0.35">
      <c r="A2" t="s">
        <v>194</v>
      </c>
    </row>
    <row r="3" spans="1:9" x14ac:dyDescent="0.35">
      <c r="H3" t="s">
        <v>195</v>
      </c>
      <c r="I3">
        <v>750</v>
      </c>
    </row>
    <row r="4" spans="1:9" x14ac:dyDescent="0.35">
      <c r="A4" s="1" t="s">
        <v>14</v>
      </c>
      <c r="B4" s="1" t="s">
        <v>196</v>
      </c>
      <c r="D4" s="1" t="s">
        <v>197</v>
      </c>
      <c r="E4" s="1" t="s">
        <v>198</v>
      </c>
      <c r="F4" s="1" t="s">
        <v>199</v>
      </c>
      <c r="H4" t="s">
        <v>200</v>
      </c>
      <c r="I4">
        <v>250000</v>
      </c>
    </row>
    <row r="5" spans="1:9" x14ac:dyDescent="0.35">
      <c r="A5" t="s">
        <v>20</v>
      </c>
      <c r="B5" t="s">
        <v>201</v>
      </c>
      <c r="D5">
        <v>0</v>
      </c>
      <c r="E5">
        <v>5000000</v>
      </c>
      <c r="F5">
        <v>35</v>
      </c>
      <c r="H5" t="s">
        <v>202</v>
      </c>
      <c r="I5">
        <v>2.5000000000000001E-2</v>
      </c>
    </row>
    <row r="6" spans="1:9" x14ac:dyDescent="0.35">
      <c r="A6" t="s">
        <v>35</v>
      </c>
      <c r="B6" t="s">
        <v>203</v>
      </c>
      <c r="D6">
        <v>5000000</v>
      </c>
      <c r="E6">
        <v>20000000</v>
      </c>
      <c r="F6">
        <v>27.5</v>
      </c>
    </row>
    <row r="7" spans="1:9" x14ac:dyDescent="0.35">
      <c r="A7" t="s">
        <v>45</v>
      </c>
      <c r="B7" t="s">
        <v>204</v>
      </c>
      <c r="D7">
        <v>20000000</v>
      </c>
      <c r="E7">
        <v>50000000</v>
      </c>
      <c r="F7">
        <v>22</v>
      </c>
    </row>
    <row r="8" spans="1:9" x14ac:dyDescent="0.35">
      <c r="A8" t="s">
        <v>55</v>
      </c>
      <c r="B8" t="s">
        <v>205</v>
      </c>
      <c r="D8">
        <v>50000000</v>
      </c>
      <c r="E8">
        <v>100000000</v>
      </c>
      <c r="F8">
        <v>18.5</v>
      </c>
    </row>
    <row r="9" spans="1:9" x14ac:dyDescent="0.35">
      <c r="A9" t="s">
        <v>65</v>
      </c>
      <c r="B9" t="s">
        <v>206</v>
      </c>
    </row>
    <row r="10" spans="1:9" x14ac:dyDescent="0.35">
      <c r="A10" t="s">
        <v>75</v>
      </c>
      <c r="B10" t="s">
        <v>207</v>
      </c>
    </row>
    <row r="11" spans="1:9" x14ac:dyDescent="0.35">
      <c r="A11" t="s">
        <v>85</v>
      </c>
      <c r="B11" t="s">
        <v>208</v>
      </c>
    </row>
    <row r="12" spans="1:9" x14ac:dyDescent="0.35">
      <c r="A12" t="s">
        <v>95</v>
      </c>
      <c r="B12" t="s">
        <v>209</v>
      </c>
    </row>
    <row r="13" spans="1:9" x14ac:dyDescent="0.35">
      <c r="A13" t="s">
        <v>105</v>
      </c>
      <c r="B13" t="s">
        <v>210</v>
      </c>
    </row>
    <row r="14" spans="1:9" x14ac:dyDescent="0.35">
      <c r="A14" t="s">
        <v>115</v>
      </c>
      <c r="B14" t="s">
        <v>201</v>
      </c>
    </row>
    <row r="15" spans="1:9" x14ac:dyDescent="0.35">
      <c r="A15" t="s">
        <v>125</v>
      </c>
      <c r="B15" t="s">
        <v>203</v>
      </c>
    </row>
    <row r="16" spans="1:9" x14ac:dyDescent="0.35">
      <c r="A16" t="s">
        <v>135</v>
      </c>
      <c r="B16" t="s">
        <v>204</v>
      </c>
    </row>
    <row r="17" spans="1:2" x14ac:dyDescent="0.35">
      <c r="A17" t="s">
        <v>145</v>
      </c>
      <c r="B17" t="s">
        <v>205</v>
      </c>
    </row>
    <row r="18" spans="1:2" x14ac:dyDescent="0.35">
      <c r="A18" t="s">
        <v>155</v>
      </c>
      <c r="B18" t="s">
        <v>206</v>
      </c>
    </row>
    <row r="19" spans="1:2" x14ac:dyDescent="0.35">
      <c r="A19" t="s">
        <v>165</v>
      </c>
      <c r="B19" t="s">
        <v>207</v>
      </c>
    </row>
    <row r="20" spans="1:2" x14ac:dyDescent="0.35">
      <c r="A20" t="s">
        <v>175</v>
      </c>
      <c r="B20" t="s">
        <v>208</v>
      </c>
    </row>
    <row r="21" spans="1:2" x14ac:dyDescent="0.35">
      <c r="A21" t="s">
        <v>185</v>
      </c>
      <c r="B21" t="s">
        <v>209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04"/>
  <sheetViews>
    <sheetView workbookViewId="0"/>
  </sheetViews>
  <sheetFormatPr defaultRowHeight="14.5" x14ac:dyDescent="0.35"/>
  <sheetData>
    <row r="1" spans="1:2" ht="15.5" x14ac:dyDescent="0.35">
      <c r="A1" s="4" t="s">
        <v>211</v>
      </c>
    </row>
    <row r="3" spans="1:2" x14ac:dyDescent="0.35">
      <c r="A3" t="s">
        <v>212</v>
      </c>
      <c r="B3" t="s">
        <v>24</v>
      </c>
    </row>
    <row r="4" spans="1:2" x14ac:dyDescent="0.35">
      <c r="A4" t="s">
        <v>213</v>
      </c>
      <c r="B4" t="s">
        <v>214</v>
      </c>
    </row>
    <row r="14" spans="1:2" x14ac:dyDescent="0.35">
      <c r="A14" t="s">
        <v>215</v>
      </c>
      <c r="B14">
        <v>26</v>
      </c>
    </row>
    <row r="15" spans="1:2" x14ac:dyDescent="0.35">
      <c r="A15" t="s">
        <v>216</v>
      </c>
      <c r="B15">
        <v>0.97</v>
      </c>
    </row>
    <row r="18" spans="1:37" x14ac:dyDescent="0.35">
      <c r="A18" s="1" t="s">
        <v>217</v>
      </c>
      <c r="B18" s="1" t="s">
        <v>218</v>
      </c>
      <c r="C18" s="1" t="s">
        <v>219</v>
      </c>
      <c r="D18" s="1" t="s">
        <v>220</v>
      </c>
      <c r="E18" s="1" t="s">
        <v>221</v>
      </c>
      <c r="F18" s="1" t="s">
        <v>222</v>
      </c>
      <c r="G18" s="1" t="s">
        <v>223</v>
      </c>
      <c r="H18" s="1" t="s">
        <v>224</v>
      </c>
      <c r="I18" s="1" t="s">
        <v>225</v>
      </c>
      <c r="J18" s="1" t="s">
        <v>226</v>
      </c>
      <c r="K18" s="1" t="s">
        <v>227</v>
      </c>
      <c r="L18" s="1" t="s">
        <v>228</v>
      </c>
      <c r="M18" s="1" t="s">
        <v>229</v>
      </c>
      <c r="N18" s="1" t="s">
        <v>230</v>
      </c>
      <c r="O18" s="1" t="s">
        <v>231</v>
      </c>
      <c r="P18" s="1" t="s">
        <v>232</v>
      </c>
      <c r="Q18" s="1" t="s">
        <v>233</v>
      </c>
      <c r="R18" s="1" t="s">
        <v>234</v>
      </c>
      <c r="S18" s="1" t="s">
        <v>235</v>
      </c>
      <c r="T18" s="1" t="s">
        <v>236</v>
      </c>
      <c r="U18" s="1" t="s">
        <v>237</v>
      </c>
      <c r="V18" s="1" t="s">
        <v>238</v>
      </c>
      <c r="W18" s="1" t="s">
        <v>239</v>
      </c>
      <c r="X18" s="1" t="s">
        <v>240</v>
      </c>
      <c r="Y18" s="1" t="s">
        <v>241</v>
      </c>
      <c r="Z18" s="1" t="s">
        <v>242</v>
      </c>
      <c r="AA18" s="1" t="s">
        <v>243</v>
      </c>
      <c r="AB18" s="1" t="s">
        <v>244</v>
      </c>
      <c r="AC18" s="1" t="s">
        <v>245</v>
      </c>
      <c r="AD18" s="1" t="s">
        <v>246</v>
      </c>
      <c r="AE18" s="1" t="s">
        <v>247</v>
      </c>
      <c r="AF18" s="1" t="s">
        <v>248</v>
      </c>
      <c r="AG18" s="1" t="s">
        <v>249</v>
      </c>
      <c r="AH18" s="1" t="s">
        <v>250</v>
      </c>
      <c r="AI18" s="1" t="s">
        <v>251</v>
      </c>
      <c r="AJ18" s="1" t="s">
        <v>252</v>
      </c>
      <c r="AK18" s="1" t="s">
        <v>253</v>
      </c>
    </row>
    <row r="19" spans="1:37" x14ac:dyDescent="0.35">
      <c r="A19" t="s">
        <v>20</v>
      </c>
      <c r="B19" t="str">
        <f>INDEX('Entity Map'!$B:$B,MATCH(A19,'Entity Map'!$A:$A,0))</f>
        <v>Client 001 Holdings</v>
      </c>
      <c r="C19">
        <f>INDEX('Entity Map'!$F:$F,MATCH(A19,'Entity Map'!$A:$A,0))</f>
        <v>45352</v>
      </c>
      <c r="D19">
        <f t="shared" ref="D19:D50" si="0">MAX(DATE(2026,11,1),C19)</f>
        <v>46327</v>
      </c>
      <c r="E19" t="str">
        <f t="shared" ref="E19:E50" si="1">TEXT(D19,"yyyy-mm")</f>
        <v>2026-11</v>
      </c>
      <c r="F19">
        <f>AVERAGEIFS(Positions!$F:$F,Positions!$A:$A,A19)</f>
        <v>11538989.925000001</v>
      </c>
      <c r="G19">
        <f>F19</f>
        <v>11538989.925000001</v>
      </c>
      <c r="H19">
        <f>IF(A19=A19,G19,F19)</f>
        <v>11538989.925000001</v>
      </c>
      <c r="I19">
        <f>VLOOKUP(F19,'Fee Schedule'!$D$5:$F$8,3,TRUE)</f>
        <v>27.5</v>
      </c>
      <c r="J19" t="str">
        <f>IFERROR(VLOOKUP(A19,'Fee Schedule'!$A$5:$B$21,2,FALSE),I19)</f>
        <v>20.0</v>
      </c>
      <c r="K19" t="str">
        <f>INDEX('Entity Map'!$C:$C,MATCH(A19,'Entity Map'!$A:$A,0))</f>
        <v>LuxCo</v>
      </c>
      <c r="L19" t="str">
        <f>INDEX('Entity Map'!$D:$D,MATCH(A19,'Entity Map'!$A:$A,0))</f>
        <v>CC-100</v>
      </c>
      <c r="M19">
        <f t="shared" ref="M19:M50" si="2">ROUND(F19*J19/10000,2)</f>
        <v>23077.98</v>
      </c>
      <c r="N19">
        <f t="shared" ref="N19:N50" si="3">DAY(EOMONTH(D19,0))</f>
        <v>30</v>
      </c>
      <c r="O19">
        <f t="shared" ref="O19:O50" si="4">DATEDIF(D19,EOMONTH(D19,0),"d")+1</f>
        <v>30</v>
      </c>
      <c r="P19">
        <f t="shared" ref="P19:P50" si="5">ROUND(M19*O19/N19,2)</f>
        <v>23077.98</v>
      </c>
      <c r="Q19">
        <f>MAX(P19,'Fee Schedule'!$I$3)</f>
        <v>23077.98</v>
      </c>
      <c r="R19">
        <f>MIN(Q19,'Fee Schedule'!$I$4)</f>
        <v>23077.98</v>
      </c>
      <c r="S19">
        <f>IFERROR(R19*'Fee Schedule'!$I$5,0)</f>
        <v>576.94950000000006</v>
      </c>
      <c r="T19">
        <f t="shared" ref="T19:T50" si="6">ROUND(R19-S19,2)</f>
        <v>22501.03</v>
      </c>
      <c r="U19">
        <f>IFERROR(VLOOKUP(A19,Overrides!$A:$C,3,FALSE),T19)</f>
        <v>22501.03</v>
      </c>
      <c r="V19" t="str">
        <f t="shared" ref="V19:V50" si="7">IF(U19=T19,"","OVERRIDE")</f>
        <v/>
      </c>
      <c r="W19" t="str">
        <f t="shared" ref="W19:W50" si="8">LEFT(A19,3)&amp;"-"&amp;E19</f>
        <v>000-2026-11</v>
      </c>
      <c r="X19">
        <f>COUNTIFS(Positions!$A:$A,A19)</f>
        <v>2</v>
      </c>
      <c r="Y19">
        <f>SUM($U$19:U19)</f>
        <v>22501.03</v>
      </c>
      <c r="Z19" t="str">
        <f>UPPER(TRIM(INDEX('Entity Map'!$E:$E,MATCH(A19,'Entity Map'!$A:$A,0))))</f>
        <v>BALANCED</v>
      </c>
      <c r="AA19">
        <f>SUMIFS(Positions!$F:$F,Positions!$E:$E,Z19)</f>
        <v>2420753390.7000003</v>
      </c>
      <c r="AB19">
        <f t="shared" ref="AB19:AB50" si="9">IFERROR(F19/AA19,0)</f>
        <v>4.766693695165419E-3</v>
      </c>
      <c r="AC19">
        <f>SUMPRODUCT(Positions!$F$18:$F$185,--(Positions!$A$18:$A$185=A19))</f>
        <v>23077979.850000001</v>
      </c>
      <c r="AD19" t="str">
        <f t="shared" ref="AD19:AD50" si="10">IF(U19&gt;40000,"A",IF(U19&gt;8000,"B","C"))</f>
        <v>B</v>
      </c>
      <c r="AE19">
        <f>COUNTIF('Entity Map'!$A:$A,A19)</f>
        <v>1</v>
      </c>
      <c r="AF19">
        <f>MAX(Positions!$C:$C)</f>
        <v>46354</v>
      </c>
      <c r="AG19">
        <f t="shared" ref="AG19:AG50" si="11">YEAR(D19)</f>
        <v>2026</v>
      </c>
      <c r="AH19">
        <f t="shared" ref="AH19:AH50" si="12">ROUND(F19*$B$14/10000,2)</f>
        <v>30001.37</v>
      </c>
      <c r="AI19">
        <f t="shared" ref="AI19:AI50" si="13">AH19-T19</f>
        <v>7500.34</v>
      </c>
      <c r="AJ19">
        <f t="shared" ref="AJ19:AJ50" si="14">AI19*$B$15</f>
        <v>7275.3297999999995</v>
      </c>
      <c r="AK19" t="str">
        <f t="shared" ref="AK19:AK50" si="15">CONCATENATE(A19," / ",TEXT(AJ19,"0.00"))</f>
        <v>00001 / 7275.33</v>
      </c>
    </row>
    <row r="20" spans="1:37" x14ac:dyDescent="0.35">
      <c r="A20" t="s">
        <v>25</v>
      </c>
      <c r="B20" t="str">
        <f>INDEX('Entity Map'!$B:$B,MATCH(A20,'Entity Map'!$A:$A,0))</f>
        <v>Client 002 Holdings</v>
      </c>
      <c r="C20">
        <f>INDEX('Entity Map'!$F:$F,MATCH(A20,'Entity Map'!$A:$A,0))</f>
        <v>45353</v>
      </c>
      <c r="D20">
        <f t="shared" si="0"/>
        <v>46327</v>
      </c>
      <c r="E20" t="str">
        <f t="shared" si="1"/>
        <v>2026-11</v>
      </c>
      <c r="F20">
        <f>AVERAGEIFS(Positions!$F:$F,Positions!$A:$A,A20)</f>
        <v>53349310.534999996</v>
      </c>
      <c r="G20">
        <f t="shared" ref="G20:G51" si="16">F19</f>
        <v>11538989.925000001</v>
      </c>
      <c r="H20">
        <f t="shared" ref="H20:H51" si="17">IF(A20=A19,G20,F20)</f>
        <v>53349310.534999996</v>
      </c>
      <c r="I20">
        <f>VLOOKUP(F20,'Fee Schedule'!$D$5:$F$8,3,TRUE)</f>
        <v>18.5</v>
      </c>
      <c r="J20">
        <f>IFERROR(VLOOKUP(A20,'Fee Schedule'!$A$5:$B$21,2,FALSE),I20)</f>
        <v>18.5</v>
      </c>
      <c r="K20" t="str">
        <f>INDEX('Entity Map'!$C:$C,MATCH(A20,'Entity Map'!$A:$A,0))</f>
        <v>UKCo</v>
      </c>
      <c r="L20" t="str">
        <f>INDEX('Entity Map'!$D:$D,MATCH(A20,'Entity Map'!$A:$A,0))</f>
        <v>CC-110</v>
      </c>
      <c r="M20">
        <f t="shared" si="2"/>
        <v>98696.22</v>
      </c>
      <c r="N20">
        <f t="shared" si="3"/>
        <v>30</v>
      </c>
      <c r="O20">
        <f t="shared" si="4"/>
        <v>30</v>
      </c>
      <c r="P20">
        <f t="shared" si="5"/>
        <v>98696.22</v>
      </c>
      <c r="Q20">
        <f>MAX(P20,'Fee Schedule'!$I$3)</f>
        <v>98696.22</v>
      </c>
      <c r="R20">
        <f>MIN(Q20,'Fee Schedule'!$I$4)</f>
        <v>98696.22</v>
      </c>
      <c r="S20">
        <f>IFERROR(R20*'Fee Schedule'!$I$5,0)</f>
        <v>2467.4055000000003</v>
      </c>
      <c r="T20">
        <f t="shared" si="6"/>
        <v>96228.81</v>
      </c>
      <c r="U20">
        <f>IFERROR(VLOOKUP(A20,Overrides!$A:$C,3,FALSE),T20)</f>
        <v>96228.81</v>
      </c>
      <c r="V20" t="str">
        <f t="shared" si="7"/>
        <v/>
      </c>
      <c r="W20" t="str">
        <f t="shared" si="8"/>
        <v>000-2026-11</v>
      </c>
      <c r="X20">
        <f>COUNTIFS(Positions!$A:$A,A20)</f>
        <v>2</v>
      </c>
      <c r="Y20">
        <f>SUM($U$19:U20)</f>
        <v>118729.84</v>
      </c>
      <c r="Z20" t="str">
        <f>UPPER(TRIM(INDEX('Entity Map'!$E:$E,MATCH(A20,'Entity Map'!$A:$A,0))))</f>
        <v>EQUITY</v>
      </c>
      <c r="AA20">
        <f>SUMIFS(Positions!$F:$F,Positions!$E:$E,Z20)</f>
        <v>2806311623.6099992</v>
      </c>
      <c r="AB20">
        <f t="shared" si="9"/>
        <v>1.9010472709503377E-2</v>
      </c>
      <c r="AC20">
        <f>SUMPRODUCT(Positions!$F$18:$F$185,--(Positions!$A$18:$A$185=A20))</f>
        <v>106698621.06999999</v>
      </c>
      <c r="AD20" t="str">
        <f t="shared" si="10"/>
        <v>A</v>
      </c>
      <c r="AE20">
        <f>COUNTIF('Entity Map'!$A:$A,A20)</f>
        <v>1</v>
      </c>
      <c r="AF20">
        <f>MAX(Positions!$C:$C)</f>
        <v>46354</v>
      </c>
      <c r="AG20">
        <f t="shared" si="11"/>
        <v>2026</v>
      </c>
      <c r="AH20">
        <f t="shared" si="12"/>
        <v>138708.21</v>
      </c>
      <c r="AI20">
        <f t="shared" si="13"/>
        <v>42479.399999999994</v>
      </c>
      <c r="AJ20">
        <f t="shared" si="14"/>
        <v>41205.017999999996</v>
      </c>
      <c r="AK20" t="str">
        <f t="shared" si="15"/>
        <v>00002 / 41205.02</v>
      </c>
    </row>
    <row r="21" spans="1:37" x14ac:dyDescent="0.35">
      <c r="A21" t="s">
        <v>28</v>
      </c>
      <c r="B21" t="str">
        <f>INDEX('Entity Map'!$B:$B,MATCH(A21,'Entity Map'!$A:$A,0))</f>
        <v>Client 003 Holdings</v>
      </c>
      <c r="C21">
        <f>INDEX('Entity Map'!$F:$F,MATCH(A21,'Entity Map'!$A:$A,0))</f>
        <v>45354</v>
      </c>
      <c r="D21">
        <f t="shared" si="0"/>
        <v>46327</v>
      </c>
      <c r="E21" t="str">
        <f t="shared" si="1"/>
        <v>2026-11</v>
      </c>
      <c r="F21">
        <f>AVERAGEIFS(Positions!$F:$F,Positions!$A:$A,A21)</f>
        <v>39322827.630000003</v>
      </c>
      <c r="G21">
        <f t="shared" si="16"/>
        <v>53349310.534999996</v>
      </c>
      <c r="H21">
        <f t="shared" si="17"/>
        <v>39322827.630000003</v>
      </c>
      <c r="I21">
        <f>VLOOKUP(F21,'Fee Schedule'!$D$5:$F$8,3,TRUE)</f>
        <v>22</v>
      </c>
      <c r="J21">
        <f>IFERROR(VLOOKUP(A21,'Fee Schedule'!$A$5:$B$21,2,FALSE),I21)</f>
        <v>22</v>
      </c>
      <c r="K21" t="str">
        <f>INDEX('Entity Map'!$C:$C,MATCH(A21,'Entity Map'!$A:$A,0))</f>
        <v>DubCo</v>
      </c>
      <c r="L21" t="str">
        <f>INDEX('Entity Map'!$D:$D,MATCH(A21,'Entity Map'!$A:$A,0))</f>
        <v>CC-120</v>
      </c>
      <c r="M21">
        <f t="shared" si="2"/>
        <v>86510.22</v>
      </c>
      <c r="N21">
        <f t="shared" si="3"/>
        <v>30</v>
      </c>
      <c r="O21">
        <f t="shared" si="4"/>
        <v>30</v>
      </c>
      <c r="P21">
        <f t="shared" si="5"/>
        <v>86510.22</v>
      </c>
      <c r="Q21">
        <f>MAX(P21,'Fee Schedule'!$I$3)</f>
        <v>86510.22</v>
      </c>
      <c r="R21">
        <f>MIN(Q21,'Fee Schedule'!$I$4)</f>
        <v>86510.22</v>
      </c>
      <c r="S21">
        <f>IFERROR(R21*'Fee Schedule'!$I$5,0)</f>
        <v>2162.7555000000002</v>
      </c>
      <c r="T21">
        <f t="shared" si="6"/>
        <v>84347.46</v>
      </c>
      <c r="U21">
        <f>IFERROR(VLOOKUP(A21,Overrides!$A:$C,3,FALSE),T21)</f>
        <v>84347.46</v>
      </c>
      <c r="V21" t="str">
        <f t="shared" si="7"/>
        <v/>
      </c>
      <c r="W21" t="str">
        <f t="shared" si="8"/>
        <v>000-2026-11</v>
      </c>
      <c r="X21">
        <f>COUNTIFS(Positions!$A:$A,A21)</f>
        <v>2</v>
      </c>
      <c r="Y21">
        <f>SUM($U$19:U21)</f>
        <v>203077.3</v>
      </c>
      <c r="Z21" t="str">
        <f>UPPER(TRIM(INDEX('Entity Map'!$E:$E,MATCH(A21,'Entity Map'!$A:$A,0))))</f>
        <v>FIXED INCOME</v>
      </c>
      <c r="AA21">
        <f>SUMIFS(Positions!$F:$F,Positions!$E:$E,Z21)</f>
        <v>2496645976.4000001</v>
      </c>
      <c r="AB21">
        <f t="shared" si="9"/>
        <v>1.5750261751848751E-2</v>
      </c>
      <c r="AC21">
        <f>SUMPRODUCT(Positions!$F$18:$F$185,--(Positions!$A$18:$A$185=A21))</f>
        <v>78645655.260000005</v>
      </c>
      <c r="AD21" t="str">
        <f t="shared" si="10"/>
        <v>A</v>
      </c>
      <c r="AE21">
        <f>COUNTIF('Entity Map'!$A:$A,A21)</f>
        <v>1</v>
      </c>
      <c r="AF21">
        <f>MAX(Positions!$C:$C)</f>
        <v>46354</v>
      </c>
      <c r="AG21">
        <f t="shared" si="11"/>
        <v>2026</v>
      </c>
      <c r="AH21">
        <f t="shared" si="12"/>
        <v>102239.35</v>
      </c>
      <c r="AI21">
        <f t="shared" si="13"/>
        <v>17891.89</v>
      </c>
      <c r="AJ21">
        <f t="shared" si="14"/>
        <v>17355.133299999998</v>
      </c>
      <c r="AK21" t="str">
        <f t="shared" si="15"/>
        <v>00003 / 17355.13</v>
      </c>
    </row>
    <row r="22" spans="1:37" x14ac:dyDescent="0.35">
      <c r="A22" t="s">
        <v>31</v>
      </c>
      <c r="B22" t="str">
        <f>INDEX('Entity Map'!$B:$B,MATCH(A22,'Entity Map'!$A:$A,0))</f>
        <v>Client 004 Holdings</v>
      </c>
      <c r="C22">
        <f>INDEX('Entity Map'!$F:$F,MATCH(A22,'Entity Map'!$A:$A,0))</f>
        <v>45355</v>
      </c>
      <c r="D22">
        <f t="shared" si="0"/>
        <v>46327</v>
      </c>
      <c r="E22" t="str">
        <f t="shared" si="1"/>
        <v>2026-11</v>
      </c>
      <c r="F22">
        <f>AVERAGEIFS(Positions!$F:$F,Positions!$A:$A,A22)</f>
        <v>122400</v>
      </c>
      <c r="G22">
        <f t="shared" si="16"/>
        <v>39322827.630000003</v>
      </c>
      <c r="H22">
        <f t="shared" si="17"/>
        <v>122400</v>
      </c>
      <c r="I22">
        <f>VLOOKUP(F22,'Fee Schedule'!$D$5:$F$8,3,TRUE)</f>
        <v>35</v>
      </c>
      <c r="J22">
        <f>IFERROR(VLOOKUP(A22,'Fee Schedule'!$A$5:$B$21,2,FALSE),I22)</f>
        <v>35</v>
      </c>
      <c r="K22" t="str">
        <f>INDEX('Entity Map'!$C:$C,MATCH(A22,'Entity Map'!$A:$A,0))</f>
        <v>LuxCo</v>
      </c>
      <c r="L22" t="str">
        <f>INDEX('Entity Map'!$D:$D,MATCH(A22,'Entity Map'!$A:$A,0))</f>
        <v>CC-130</v>
      </c>
      <c r="M22">
        <f t="shared" si="2"/>
        <v>428.4</v>
      </c>
      <c r="N22">
        <f t="shared" si="3"/>
        <v>30</v>
      </c>
      <c r="O22">
        <f t="shared" si="4"/>
        <v>30</v>
      </c>
      <c r="P22">
        <f t="shared" si="5"/>
        <v>428.4</v>
      </c>
      <c r="Q22">
        <f>MAX(P22,'Fee Schedule'!$I$3)</f>
        <v>750</v>
      </c>
      <c r="R22">
        <f>MIN(Q22,'Fee Schedule'!$I$4)</f>
        <v>750</v>
      </c>
      <c r="S22">
        <f>IFERROR(R22*'Fee Schedule'!$I$5,0)</f>
        <v>18.75</v>
      </c>
      <c r="T22">
        <f t="shared" si="6"/>
        <v>731.25</v>
      </c>
      <c r="U22">
        <f>IFERROR(VLOOKUP(A22,Overrides!$A:$C,3,FALSE),T22)</f>
        <v>731.25</v>
      </c>
      <c r="V22" t="str">
        <f t="shared" si="7"/>
        <v/>
      </c>
      <c r="W22" t="str">
        <f t="shared" si="8"/>
        <v>000-2026-11</v>
      </c>
      <c r="X22">
        <f>COUNTIFS(Positions!$A:$A,A22)</f>
        <v>2</v>
      </c>
      <c r="Y22">
        <f>SUM($U$19:U22)</f>
        <v>203808.55</v>
      </c>
      <c r="Z22" t="str">
        <f>UPPER(TRIM(INDEX('Entity Map'!$E:$E,MATCH(A22,'Entity Map'!$A:$A,0))))</f>
        <v>BALANCED</v>
      </c>
      <c r="AA22">
        <f>SUMIFS(Positions!$F:$F,Positions!$E:$E,Z22)</f>
        <v>2420753390.7000003</v>
      </c>
      <c r="AB22">
        <f t="shared" si="9"/>
        <v>5.0562771272048514E-5</v>
      </c>
      <c r="AC22">
        <f>SUMPRODUCT(Positions!$F$18:$F$185,--(Positions!$A$18:$A$185=A22))</f>
        <v>244800</v>
      </c>
      <c r="AD22" t="str">
        <f t="shared" si="10"/>
        <v>C</v>
      </c>
      <c r="AE22">
        <f>COUNTIF('Entity Map'!$A:$A,A22)</f>
        <v>1</v>
      </c>
      <c r="AF22">
        <f>MAX(Positions!$C:$C)</f>
        <v>46354</v>
      </c>
      <c r="AG22">
        <f t="shared" si="11"/>
        <v>2026</v>
      </c>
      <c r="AH22">
        <f t="shared" si="12"/>
        <v>318.24</v>
      </c>
      <c r="AI22">
        <f t="shared" si="13"/>
        <v>-413.01</v>
      </c>
      <c r="AJ22">
        <f t="shared" si="14"/>
        <v>-400.61969999999997</v>
      </c>
      <c r="AK22" t="str">
        <f t="shared" si="15"/>
        <v>00004 / -400.62</v>
      </c>
    </row>
    <row r="23" spans="1:37" x14ac:dyDescent="0.35">
      <c r="A23" t="s">
        <v>33</v>
      </c>
      <c r="B23" t="str">
        <f>INDEX('Entity Map'!$B:$B,MATCH(A23,'Entity Map'!$A:$A,0))</f>
        <v>Client 005 Holdings</v>
      </c>
      <c r="C23">
        <f>INDEX('Entity Map'!$F:$F,MATCH(A23,'Entity Map'!$A:$A,0))</f>
        <v>45356</v>
      </c>
      <c r="D23">
        <f t="shared" si="0"/>
        <v>46327</v>
      </c>
      <c r="E23" t="str">
        <f t="shared" si="1"/>
        <v>2026-11</v>
      </c>
      <c r="F23">
        <f>AVERAGEIFS(Positions!$F:$F,Positions!$A:$A,A23)</f>
        <v>44837740.375</v>
      </c>
      <c r="G23">
        <f t="shared" si="16"/>
        <v>122400</v>
      </c>
      <c r="H23">
        <f t="shared" si="17"/>
        <v>44837740.375</v>
      </c>
      <c r="I23">
        <f>VLOOKUP(F23,'Fee Schedule'!$D$5:$F$8,3,TRUE)</f>
        <v>22</v>
      </c>
      <c r="J23">
        <f>IFERROR(VLOOKUP(A23,'Fee Schedule'!$A$5:$B$21,2,FALSE),I23)</f>
        <v>22</v>
      </c>
      <c r="K23" t="str">
        <f>INDEX('Entity Map'!$C:$C,MATCH(A23,'Entity Map'!$A:$A,0))</f>
        <v>UKCo</v>
      </c>
      <c r="L23" t="str">
        <f>INDEX('Entity Map'!$D:$D,MATCH(A23,'Entity Map'!$A:$A,0))</f>
        <v>CC-140</v>
      </c>
      <c r="M23">
        <f t="shared" si="2"/>
        <v>98643.03</v>
      </c>
      <c r="N23">
        <f t="shared" si="3"/>
        <v>30</v>
      </c>
      <c r="O23">
        <f t="shared" si="4"/>
        <v>30</v>
      </c>
      <c r="P23">
        <f t="shared" si="5"/>
        <v>98643.03</v>
      </c>
      <c r="Q23">
        <f>MAX(P23,'Fee Schedule'!$I$3)</f>
        <v>98643.03</v>
      </c>
      <c r="R23">
        <f>MIN(Q23,'Fee Schedule'!$I$4)</f>
        <v>98643.03</v>
      </c>
      <c r="S23">
        <f>IFERROR(R23*'Fee Schedule'!$I$5,0)</f>
        <v>2466.07575</v>
      </c>
      <c r="T23">
        <f t="shared" si="6"/>
        <v>96176.95</v>
      </c>
      <c r="U23">
        <f>IFERROR(VLOOKUP(A23,Overrides!$A:$C,3,FALSE),T23)</f>
        <v>96176.95</v>
      </c>
      <c r="V23" t="str">
        <f t="shared" si="7"/>
        <v/>
      </c>
      <c r="W23" t="str">
        <f t="shared" si="8"/>
        <v>000-2026-11</v>
      </c>
      <c r="X23">
        <f>COUNTIFS(Positions!$A:$A,A23)</f>
        <v>2</v>
      </c>
      <c r="Y23">
        <f>SUM($U$19:U23)</f>
        <v>299985.5</v>
      </c>
      <c r="Z23" t="str">
        <f>UPPER(TRIM(INDEX('Entity Map'!$E:$E,MATCH(A23,'Entity Map'!$A:$A,0))))</f>
        <v>EQUITY</v>
      </c>
      <c r="AA23">
        <f>SUMIFS(Positions!$F:$F,Positions!$E:$E,Z23)</f>
        <v>2806311623.6099992</v>
      </c>
      <c r="AB23">
        <f t="shared" si="9"/>
        <v>1.5977463086341556E-2</v>
      </c>
      <c r="AC23">
        <f>SUMPRODUCT(Positions!$F$18:$F$185,--(Positions!$A$18:$A$185=A23))</f>
        <v>89675480.75</v>
      </c>
      <c r="AD23" t="str">
        <f t="shared" si="10"/>
        <v>A</v>
      </c>
      <c r="AE23">
        <f>COUNTIF('Entity Map'!$A:$A,A23)</f>
        <v>1</v>
      </c>
      <c r="AF23">
        <f>MAX(Positions!$C:$C)</f>
        <v>46354</v>
      </c>
      <c r="AG23">
        <f t="shared" si="11"/>
        <v>2026</v>
      </c>
      <c r="AH23">
        <f t="shared" si="12"/>
        <v>116578.12</v>
      </c>
      <c r="AI23">
        <f t="shared" si="13"/>
        <v>20401.169999999998</v>
      </c>
      <c r="AJ23">
        <f t="shared" si="14"/>
        <v>19789.134899999997</v>
      </c>
      <c r="AK23" t="str">
        <f t="shared" si="15"/>
        <v>00005 / 19789.13</v>
      </c>
    </row>
    <row r="24" spans="1:37" x14ac:dyDescent="0.35">
      <c r="A24" t="s">
        <v>35</v>
      </c>
      <c r="B24" t="str">
        <f>INDEX('Entity Map'!$B:$B,MATCH(A24,'Entity Map'!$A:$A,0))</f>
        <v>Client 006 Holdings</v>
      </c>
      <c r="C24">
        <f>INDEX('Entity Map'!$F:$F,MATCH(A24,'Entity Map'!$A:$A,0))</f>
        <v>45357</v>
      </c>
      <c r="D24">
        <f t="shared" si="0"/>
        <v>46327</v>
      </c>
      <c r="E24" t="str">
        <f t="shared" si="1"/>
        <v>2026-11</v>
      </c>
      <c r="F24">
        <f>AVERAGEIFS(Positions!$F:$F,Positions!$A:$A,A24)</f>
        <v>36927318.329999998</v>
      </c>
      <c r="G24">
        <f t="shared" si="16"/>
        <v>44837740.375</v>
      </c>
      <c r="H24">
        <f t="shared" si="17"/>
        <v>36927318.329999998</v>
      </c>
      <c r="I24">
        <f>VLOOKUP(F24,'Fee Schedule'!$D$5:$F$8,3,TRUE)</f>
        <v>22</v>
      </c>
      <c r="J24" t="str">
        <f>IFERROR(VLOOKUP(A24,'Fee Schedule'!$A$5:$B$21,2,FALSE),I24)</f>
        <v>27.5</v>
      </c>
      <c r="K24" t="str">
        <f>INDEX('Entity Map'!$C:$C,MATCH(A24,'Entity Map'!$A:$A,0))</f>
        <v>DubCo</v>
      </c>
      <c r="L24" t="str">
        <f>INDEX('Entity Map'!$D:$D,MATCH(A24,'Entity Map'!$A:$A,0))</f>
        <v>CC-150</v>
      </c>
      <c r="M24">
        <f t="shared" si="2"/>
        <v>101550.13</v>
      </c>
      <c r="N24">
        <f t="shared" si="3"/>
        <v>30</v>
      </c>
      <c r="O24">
        <f t="shared" si="4"/>
        <v>30</v>
      </c>
      <c r="P24">
        <f t="shared" si="5"/>
        <v>101550.13</v>
      </c>
      <c r="Q24">
        <f>MAX(P24,'Fee Schedule'!$I$3)</f>
        <v>101550.13</v>
      </c>
      <c r="R24">
        <f>MIN(Q24,'Fee Schedule'!$I$4)</f>
        <v>101550.13</v>
      </c>
      <c r="S24">
        <f>IFERROR(R24*'Fee Schedule'!$I$5,0)</f>
        <v>2538.7532500000002</v>
      </c>
      <c r="T24">
        <f t="shared" si="6"/>
        <v>99011.38</v>
      </c>
      <c r="U24">
        <f>IFERROR(VLOOKUP(A24,Overrides!$A:$C,3,FALSE),T24)</f>
        <v>99011.38</v>
      </c>
      <c r="V24" t="str">
        <f t="shared" si="7"/>
        <v/>
      </c>
      <c r="W24" t="str">
        <f t="shared" si="8"/>
        <v>000-2026-11</v>
      </c>
      <c r="X24">
        <f>COUNTIFS(Positions!$A:$A,A24)</f>
        <v>2</v>
      </c>
      <c r="Y24">
        <f>SUM($U$19:U24)</f>
        <v>398996.88</v>
      </c>
      <c r="Z24" t="str">
        <f>UPPER(TRIM(INDEX('Entity Map'!$E:$E,MATCH(A24,'Entity Map'!$A:$A,0))))</f>
        <v>FIXED INCOME</v>
      </c>
      <c r="AA24">
        <f>SUMIFS(Positions!$F:$F,Positions!$E:$E,Z24)</f>
        <v>2496645976.4000001</v>
      </c>
      <c r="AB24">
        <f t="shared" si="9"/>
        <v>1.4790770769689491E-2</v>
      </c>
      <c r="AC24">
        <f>SUMPRODUCT(Positions!$F$18:$F$185,--(Positions!$A$18:$A$185=A24))</f>
        <v>73854636.659999996</v>
      </c>
      <c r="AD24" t="str">
        <f t="shared" si="10"/>
        <v>A</v>
      </c>
      <c r="AE24">
        <f>COUNTIF('Entity Map'!$A:$A,A24)</f>
        <v>1</v>
      </c>
      <c r="AF24">
        <f>MAX(Positions!$C:$C)</f>
        <v>46354</v>
      </c>
      <c r="AG24">
        <f t="shared" si="11"/>
        <v>2026</v>
      </c>
      <c r="AH24">
        <f t="shared" si="12"/>
        <v>96011.03</v>
      </c>
      <c r="AI24">
        <f t="shared" si="13"/>
        <v>-3000.3500000000058</v>
      </c>
      <c r="AJ24">
        <f t="shared" si="14"/>
        <v>-2910.3395000000055</v>
      </c>
      <c r="AK24" t="str">
        <f t="shared" si="15"/>
        <v>00006 / -2910.34</v>
      </c>
    </row>
    <row r="25" spans="1:37" x14ac:dyDescent="0.35">
      <c r="A25" t="s">
        <v>37</v>
      </c>
      <c r="B25" t="str">
        <f>INDEX('Entity Map'!$B:$B,MATCH(A25,'Entity Map'!$A:$A,0))</f>
        <v>Client 007 Holdings</v>
      </c>
      <c r="C25">
        <f>INDEX('Entity Map'!$F:$F,MATCH(A25,'Entity Map'!$A:$A,0))</f>
        <v>45358</v>
      </c>
      <c r="D25">
        <f t="shared" si="0"/>
        <v>46327</v>
      </c>
      <c r="E25" t="str">
        <f t="shared" si="1"/>
        <v>2026-11</v>
      </c>
      <c r="F25">
        <f>AVERAGEIFS(Positions!$F:$F,Positions!$A:$A,A25)</f>
        <v>29063097.365000002</v>
      </c>
      <c r="G25">
        <f t="shared" si="16"/>
        <v>36927318.329999998</v>
      </c>
      <c r="H25">
        <f t="shared" si="17"/>
        <v>29063097.365000002</v>
      </c>
      <c r="I25">
        <f>VLOOKUP(F25,'Fee Schedule'!$D$5:$F$8,3,TRUE)</f>
        <v>22</v>
      </c>
      <c r="J25">
        <f>IFERROR(VLOOKUP(A25,'Fee Schedule'!$A$5:$B$21,2,FALSE),I25)</f>
        <v>22</v>
      </c>
      <c r="K25" t="str">
        <f>INDEX('Entity Map'!$C:$C,MATCH(A25,'Entity Map'!$A:$A,0))</f>
        <v>LuxCo</v>
      </c>
      <c r="L25" t="str">
        <f>INDEX('Entity Map'!$D:$D,MATCH(A25,'Entity Map'!$A:$A,0))</f>
        <v>CC-100</v>
      </c>
      <c r="M25">
        <f t="shared" si="2"/>
        <v>63938.81</v>
      </c>
      <c r="N25">
        <f t="shared" si="3"/>
        <v>30</v>
      </c>
      <c r="O25">
        <f t="shared" si="4"/>
        <v>30</v>
      </c>
      <c r="P25">
        <f t="shared" si="5"/>
        <v>63938.81</v>
      </c>
      <c r="Q25">
        <f>MAX(P25,'Fee Schedule'!$I$3)</f>
        <v>63938.81</v>
      </c>
      <c r="R25">
        <f>MIN(Q25,'Fee Schedule'!$I$4)</f>
        <v>63938.81</v>
      </c>
      <c r="S25">
        <f>IFERROR(R25*'Fee Schedule'!$I$5,0)</f>
        <v>1598.4702500000001</v>
      </c>
      <c r="T25">
        <f t="shared" si="6"/>
        <v>62340.34</v>
      </c>
      <c r="U25">
        <f>IFERROR(VLOOKUP(A25,Overrides!$A:$C,3,FALSE),T25)</f>
        <v>0</v>
      </c>
      <c r="V25" t="str">
        <f t="shared" si="7"/>
        <v>OVERRIDE</v>
      </c>
      <c r="W25" t="str">
        <f t="shared" si="8"/>
        <v>000-2026-11</v>
      </c>
      <c r="X25">
        <f>COUNTIFS(Positions!$A:$A,A25)</f>
        <v>2</v>
      </c>
      <c r="Y25">
        <f>SUM($U$19:U25)</f>
        <v>398996.88</v>
      </c>
      <c r="Z25" t="str">
        <f>UPPER(TRIM(INDEX('Entity Map'!$E:$E,MATCH(A25,'Entity Map'!$A:$A,0))))</f>
        <v>BALANCED</v>
      </c>
      <c r="AA25">
        <f>SUMIFS(Positions!$F:$F,Positions!$E:$E,Z25)</f>
        <v>2420753390.7000003</v>
      </c>
      <c r="AB25">
        <f t="shared" si="9"/>
        <v>1.2005806736305318E-2</v>
      </c>
      <c r="AC25">
        <f>SUMPRODUCT(Positions!$F$18:$F$185,--(Positions!$A$18:$A$185=A25))</f>
        <v>58126194.730000004</v>
      </c>
      <c r="AD25" t="str">
        <f t="shared" si="10"/>
        <v>C</v>
      </c>
      <c r="AE25">
        <f>COUNTIF('Entity Map'!$A:$A,A25)</f>
        <v>1</v>
      </c>
      <c r="AF25">
        <f>MAX(Positions!$C:$C)</f>
        <v>46354</v>
      </c>
      <c r="AG25">
        <f t="shared" si="11"/>
        <v>2026</v>
      </c>
      <c r="AH25">
        <f t="shared" si="12"/>
        <v>75564.05</v>
      </c>
      <c r="AI25">
        <f t="shared" si="13"/>
        <v>13223.710000000006</v>
      </c>
      <c r="AJ25">
        <f t="shared" si="14"/>
        <v>12826.998700000006</v>
      </c>
      <c r="AK25" t="str">
        <f t="shared" si="15"/>
        <v>00007 / 12827.00</v>
      </c>
    </row>
    <row r="26" spans="1:37" x14ac:dyDescent="0.35">
      <c r="A26" t="s">
        <v>39</v>
      </c>
      <c r="B26" t="str">
        <f>INDEX('Entity Map'!$B:$B,MATCH(A26,'Entity Map'!$A:$A,0))</f>
        <v>Client 008 Holdings</v>
      </c>
      <c r="C26">
        <f>INDEX('Entity Map'!$F:$F,MATCH(A26,'Entity Map'!$A:$A,0))</f>
        <v>45359</v>
      </c>
      <c r="D26">
        <f t="shared" si="0"/>
        <v>46327</v>
      </c>
      <c r="E26" t="str">
        <f t="shared" si="1"/>
        <v>2026-11</v>
      </c>
      <c r="F26">
        <f>AVERAGEIFS(Positions!$F:$F,Positions!$A:$A,A26)</f>
        <v>37175444.015000001</v>
      </c>
      <c r="G26">
        <f t="shared" si="16"/>
        <v>29063097.365000002</v>
      </c>
      <c r="H26">
        <f t="shared" si="17"/>
        <v>37175444.015000001</v>
      </c>
      <c r="I26">
        <f>VLOOKUP(F26,'Fee Schedule'!$D$5:$F$8,3,TRUE)</f>
        <v>22</v>
      </c>
      <c r="J26">
        <f>IFERROR(VLOOKUP(A26,'Fee Schedule'!$A$5:$B$21,2,FALSE),I26)</f>
        <v>22</v>
      </c>
      <c r="K26" t="str">
        <f>INDEX('Entity Map'!$C:$C,MATCH(A26,'Entity Map'!$A:$A,0))</f>
        <v>UKCo</v>
      </c>
      <c r="L26" t="str">
        <f>INDEX('Entity Map'!$D:$D,MATCH(A26,'Entity Map'!$A:$A,0))</f>
        <v>CC-110</v>
      </c>
      <c r="M26">
        <f t="shared" si="2"/>
        <v>81785.98</v>
      </c>
      <c r="N26">
        <f t="shared" si="3"/>
        <v>30</v>
      </c>
      <c r="O26">
        <f t="shared" si="4"/>
        <v>30</v>
      </c>
      <c r="P26">
        <f t="shared" si="5"/>
        <v>81785.98</v>
      </c>
      <c r="Q26">
        <f>MAX(P26,'Fee Schedule'!$I$3)</f>
        <v>81785.98</v>
      </c>
      <c r="R26">
        <f>MIN(Q26,'Fee Schedule'!$I$4)</f>
        <v>81785.98</v>
      </c>
      <c r="S26">
        <f>IFERROR(R26*'Fee Schedule'!$I$5,0)</f>
        <v>2044.6495</v>
      </c>
      <c r="T26">
        <f t="shared" si="6"/>
        <v>79741.33</v>
      </c>
      <c r="U26">
        <f>IFERROR(VLOOKUP(A26,Overrides!$A:$C,3,FALSE),T26)</f>
        <v>79741.33</v>
      </c>
      <c r="V26" t="str">
        <f t="shared" si="7"/>
        <v/>
      </c>
      <c r="W26" t="str">
        <f t="shared" si="8"/>
        <v>000-2026-11</v>
      </c>
      <c r="X26">
        <f>COUNTIFS(Positions!$A:$A,A26)</f>
        <v>2</v>
      </c>
      <c r="Y26">
        <f>SUM($U$19:U26)</f>
        <v>478738.21</v>
      </c>
      <c r="Z26" t="str">
        <f>UPPER(TRIM(INDEX('Entity Map'!$E:$E,MATCH(A26,'Entity Map'!$A:$A,0))))</f>
        <v>EQUITY</v>
      </c>
      <c r="AA26">
        <f>SUMIFS(Positions!$F:$F,Positions!$E:$E,Z26)</f>
        <v>2806311623.6099992</v>
      </c>
      <c r="AB26">
        <f t="shared" si="9"/>
        <v>1.3247083361033883E-2</v>
      </c>
      <c r="AC26">
        <f>SUMPRODUCT(Positions!$F$18:$F$185,--(Positions!$A$18:$A$185=A26))</f>
        <v>74350888.030000001</v>
      </c>
      <c r="AD26" t="str">
        <f t="shared" si="10"/>
        <v>A</v>
      </c>
      <c r="AE26">
        <f>COUNTIF('Entity Map'!$A:$A,A26)</f>
        <v>1</v>
      </c>
      <c r="AF26">
        <f>MAX(Positions!$C:$C)</f>
        <v>46354</v>
      </c>
      <c r="AG26">
        <f t="shared" si="11"/>
        <v>2026</v>
      </c>
      <c r="AH26">
        <f t="shared" si="12"/>
        <v>96656.15</v>
      </c>
      <c r="AI26">
        <f t="shared" si="13"/>
        <v>16914.819999999992</v>
      </c>
      <c r="AJ26">
        <f t="shared" si="14"/>
        <v>16407.375399999994</v>
      </c>
      <c r="AK26" t="str">
        <f t="shared" si="15"/>
        <v>00008 / 16407.38</v>
      </c>
    </row>
    <row r="27" spans="1:37" x14ac:dyDescent="0.35">
      <c r="A27" t="s">
        <v>41</v>
      </c>
      <c r="B27" t="str">
        <f>INDEX('Entity Map'!$B:$B,MATCH(A27,'Entity Map'!$A:$A,0))</f>
        <v>Client 009 Holdings</v>
      </c>
      <c r="C27">
        <f>INDEX('Entity Map'!$F:$F,MATCH(A27,'Entity Map'!$A:$A,0))</f>
        <v>45360</v>
      </c>
      <c r="D27">
        <f t="shared" si="0"/>
        <v>46327</v>
      </c>
      <c r="E27" t="str">
        <f t="shared" si="1"/>
        <v>2026-11</v>
      </c>
      <c r="F27">
        <f>AVERAGEIFS(Positions!$F:$F,Positions!$A:$A,A27)</f>
        <v>47933384.784999996</v>
      </c>
      <c r="G27">
        <f t="shared" si="16"/>
        <v>37175444.015000001</v>
      </c>
      <c r="H27">
        <f t="shared" si="17"/>
        <v>47933384.784999996</v>
      </c>
      <c r="I27">
        <f>VLOOKUP(F27,'Fee Schedule'!$D$5:$F$8,3,TRUE)</f>
        <v>22</v>
      </c>
      <c r="J27">
        <f>IFERROR(VLOOKUP(A27,'Fee Schedule'!$A$5:$B$21,2,FALSE),I27)</f>
        <v>22</v>
      </c>
      <c r="K27" t="str">
        <f>INDEX('Entity Map'!$C:$C,MATCH(A27,'Entity Map'!$A:$A,0))</f>
        <v>DubCo</v>
      </c>
      <c r="L27" t="str">
        <f>INDEX('Entity Map'!$D:$D,MATCH(A27,'Entity Map'!$A:$A,0))</f>
        <v>CC-120</v>
      </c>
      <c r="M27">
        <f t="shared" si="2"/>
        <v>105453.45</v>
      </c>
      <c r="N27">
        <f t="shared" si="3"/>
        <v>30</v>
      </c>
      <c r="O27">
        <f t="shared" si="4"/>
        <v>30</v>
      </c>
      <c r="P27">
        <f t="shared" si="5"/>
        <v>105453.45</v>
      </c>
      <c r="Q27">
        <f>MAX(P27,'Fee Schedule'!$I$3)</f>
        <v>105453.45</v>
      </c>
      <c r="R27">
        <f>MIN(Q27,'Fee Schedule'!$I$4)</f>
        <v>105453.45</v>
      </c>
      <c r="S27">
        <f>IFERROR(R27*'Fee Schedule'!$I$5,0)</f>
        <v>2636.3362500000003</v>
      </c>
      <c r="T27">
        <f t="shared" si="6"/>
        <v>102817.11</v>
      </c>
      <c r="U27">
        <f>IFERROR(VLOOKUP(A27,Overrides!$A:$C,3,FALSE),T27)</f>
        <v>102817.11</v>
      </c>
      <c r="V27" t="str">
        <f t="shared" si="7"/>
        <v/>
      </c>
      <c r="W27" t="str">
        <f t="shared" si="8"/>
        <v>000-2026-11</v>
      </c>
      <c r="X27">
        <f>COUNTIFS(Positions!$A:$A,A27)</f>
        <v>2</v>
      </c>
      <c r="Y27">
        <f>SUM($U$19:U27)</f>
        <v>581555.31999999995</v>
      </c>
      <c r="Z27" t="str">
        <f>UPPER(TRIM(INDEX('Entity Map'!$E:$E,MATCH(A27,'Entity Map'!$A:$A,0))))</f>
        <v>FIXED INCOME</v>
      </c>
      <c r="AA27">
        <f>SUMIFS(Positions!$F:$F,Positions!$E:$E,Z27)</f>
        <v>2496645976.4000001</v>
      </c>
      <c r="AB27">
        <f t="shared" si="9"/>
        <v>1.9199111623393557E-2</v>
      </c>
      <c r="AC27">
        <f>SUMPRODUCT(Positions!$F$18:$F$185,--(Positions!$A$18:$A$185=A27))</f>
        <v>95866769.569999993</v>
      </c>
      <c r="AD27" t="str">
        <f t="shared" si="10"/>
        <v>A</v>
      </c>
      <c r="AE27">
        <f>COUNTIF('Entity Map'!$A:$A,A27)</f>
        <v>1</v>
      </c>
      <c r="AF27">
        <f>MAX(Positions!$C:$C)</f>
        <v>46354</v>
      </c>
      <c r="AG27">
        <f t="shared" si="11"/>
        <v>2026</v>
      </c>
      <c r="AH27">
        <f t="shared" si="12"/>
        <v>124626.8</v>
      </c>
      <c r="AI27">
        <f t="shared" si="13"/>
        <v>21809.690000000002</v>
      </c>
      <c r="AJ27">
        <f t="shared" si="14"/>
        <v>21155.399300000001</v>
      </c>
      <c r="AK27" t="str">
        <f t="shared" si="15"/>
        <v>00009 / 21155.40</v>
      </c>
    </row>
    <row r="28" spans="1:37" x14ac:dyDescent="0.35">
      <c r="A28" t="s">
        <v>43</v>
      </c>
      <c r="B28" t="str">
        <f>INDEX('Entity Map'!$B:$B,MATCH(A28,'Entity Map'!$A:$A,0))</f>
        <v>Client 010 Holdings</v>
      </c>
      <c r="C28">
        <f>INDEX('Entity Map'!$F:$F,MATCH(A28,'Entity Map'!$A:$A,0))</f>
        <v>45361</v>
      </c>
      <c r="D28">
        <f t="shared" si="0"/>
        <v>46327</v>
      </c>
      <c r="E28" t="str">
        <f t="shared" si="1"/>
        <v>2026-11</v>
      </c>
      <c r="F28">
        <f>AVERAGEIFS(Positions!$F:$F,Positions!$A:$A,A28)</f>
        <v>54863920.725000001</v>
      </c>
      <c r="G28">
        <f t="shared" si="16"/>
        <v>47933384.784999996</v>
      </c>
      <c r="H28">
        <f t="shared" si="17"/>
        <v>54863920.725000001</v>
      </c>
      <c r="I28">
        <f>VLOOKUP(F28,'Fee Schedule'!$D$5:$F$8,3,TRUE)</f>
        <v>18.5</v>
      </c>
      <c r="J28">
        <f>IFERROR(VLOOKUP(A28,'Fee Schedule'!$A$5:$B$21,2,FALSE),I28)</f>
        <v>18.5</v>
      </c>
      <c r="K28" t="str">
        <f>INDEX('Entity Map'!$C:$C,MATCH(A28,'Entity Map'!$A:$A,0))</f>
        <v>LuxCo</v>
      </c>
      <c r="L28" t="str">
        <f>INDEX('Entity Map'!$D:$D,MATCH(A28,'Entity Map'!$A:$A,0))</f>
        <v>CC-130</v>
      </c>
      <c r="M28">
        <f t="shared" si="2"/>
        <v>101498.25</v>
      </c>
      <c r="N28">
        <f t="shared" si="3"/>
        <v>30</v>
      </c>
      <c r="O28">
        <f t="shared" si="4"/>
        <v>30</v>
      </c>
      <c r="P28">
        <f t="shared" si="5"/>
        <v>101498.25</v>
      </c>
      <c r="Q28">
        <f>MAX(P28,'Fee Schedule'!$I$3)</f>
        <v>101498.25</v>
      </c>
      <c r="R28">
        <f>MIN(Q28,'Fee Schedule'!$I$4)</f>
        <v>101498.25</v>
      </c>
      <c r="S28">
        <f>IFERROR(R28*'Fee Schedule'!$I$5,0)</f>
        <v>2537.4562500000002</v>
      </c>
      <c r="T28">
        <f t="shared" si="6"/>
        <v>98960.79</v>
      </c>
      <c r="U28">
        <f>IFERROR(VLOOKUP(A28,Overrides!$A:$C,3,FALSE),T28)</f>
        <v>98960.79</v>
      </c>
      <c r="V28" t="str">
        <f t="shared" si="7"/>
        <v/>
      </c>
      <c r="W28" t="str">
        <f t="shared" si="8"/>
        <v>000-2026-11</v>
      </c>
      <c r="X28">
        <f>COUNTIFS(Positions!$A:$A,A28)</f>
        <v>2</v>
      </c>
      <c r="Y28">
        <f>SUM($U$19:U28)</f>
        <v>680516.11</v>
      </c>
      <c r="Z28" t="str">
        <f>UPPER(TRIM(INDEX('Entity Map'!$E:$E,MATCH(A28,'Entity Map'!$A:$A,0))))</f>
        <v>BALANCED</v>
      </c>
      <c r="AA28">
        <f>SUMIFS(Positions!$F:$F,Positions!$E:$E,Z28)</f>
        <v>2420753390.7000003</v>
      </c>
      <c r="AB28">
        <f t="shared" si="9"/>
        <v>2.2663985904460598E-2</v>
      </c>
      <c r="AC28">
        <f>SUMPRODUCT(Positions!$F$18:$F$185,--(Positions!$A$18:$A$185=A28))</f>
        <v>109727841.45</v>
      </c>
      <c r="AD28" t="str">
        <f t="shared" si="10"/>
        <v>A</v>
      </c>
      <c r="AE28">
        <f>COUNTIF('Entity Map'!$A:$A,A28)</f>
        <v>1</v>
      </c>
      <c r="AF28">
        <f>MAX(Positions!$C:$C)</f>
        <v>46354</v>
      </c>
      <c r="AG28">
        <f t="shared" si="11"/>
        <v>2026</v>
      </c>
      <c r="AH28">
        <f t="shared" si="12"/>
        <v>142646.19</v>
      </c>
      <c r="AI28">
        <f t="shared" si="13"/>
        <v>43685.400000000009</v>
      </c>
      <c r="AJ28">
        <f t="shared" si="14"/>
        <v>42374.838000000011</v>
      </c>
      <c r="AK28" t="str">
        <f t="shared" si="15"/>
        <v>00010 / 42374.84</v>
      </c>
    </row>
    <row r="29" spans="1:37" x14ac:dyDescent="0.35">
      <c r="A29" t="s">
        <v>45</v>
      </c>
      <c r="B29" t="str">
        <f>INDEX('Entity Map'!$B:$B,MATCH(A29,'Entity Map'!$A:$A,0))</f>
        <v>Client 011 Holdings</v>
      </c>
      <c r="C29">
        <f>INDEX('Entity Map'!$F:$F,MATCH(A29,'Entity Map'!$A:$A,0))</f>
        <v>45362</v>
      </c>
      <c r="D29">
        <f t="shared" si="0"/>
        <v>46327</v>
      </c>
      <c r="E29" t="str">
        <f t="shared" si="1"/>
        <v>2026-11</v>
      </c>
      <c r="F29">
        <f>AVERAGEIFS(Positions!$F:$F,Positions!$A:$A,A29)</f>
        <v>16406934.344999999</v>
      </c>
      <c r="G29">
        <f t="shared" si="16"/>
        <v>54863920.725000001</v>
      </c>
      <c r="H29">
        <f t="shared" si="17"/>
        <v>16406934.344999999</v>
      </c>
      <c r="I29">
        <f>VLOOKUP(F29,'Fee Schedule'!$D$5:$F$8,3,TRUE)</f>
        <v>27.5</v>
      </c>
      <c r="J29" t="str">
        <f>IFERROR(VLOOKUP(A29,'Fee Schedule'!$A$5:$B$21,2,FALSE),I29)</f>
        <v>21.5</v>
      </c>
      <c r="K29" t="str">
        <f>INDEX('Entity Map'!$C:$C,MATCH(A29,'Entity Map'!$A:$A,0))</f>
        <v>UKCo</v>
      </c>
      <c r="L29" t="str">
        <f>INDEX('Entity Map'!$D:$D,MATCH(A29,'Entity Map'!$A:$A,0))</f>
        <v>CC-140</v>
      </c>
      <c r="M29">
        <f t="shared" si="2"/>
        <v>35274.910000000003</v>
      </c>
      <c r="N29">
        <f t="shared" si="3"/>
        <v>30</v>
      </c>
      <c r="O29">
        <f t="shared" si="4"/>
        <v>30</v>
      </c>
      <c r="P29">
        <f t="shared" si="5"/>
        <v>35274.910000000003</v>
      </c>
      <c r="Q29">
        <f>MAX(P29,'Fee Schedule'!$I$3)</f>
        <v>35274.910000000003</v>
      </c>
      <c r="R29">
        <f>MIN(Q29,'Fee Schedule'!$I$4)</f>
        <v>35274.910000000003</v>
      </c>
      <c r="S29">
        <f>IFERROR(R29*'Fee Schedule'!$I$5,0)</f>
        <v>881.87275000000011</v>
      </c>
      <c r="T29">
        <f t="shared" si="6"/>
        <v>34393.040000000001</v>
      </c>
      <c r="U29">
        <f>IFERROR(VLOOKUP(A29,Overrides!$A:$C,3,FALSE),T29)</f>
        <v>34393.040000000001</v>
      </c>
      <c r="V29" t="str">
        <f t="shared" si="7"/>
        <v/>
      </c>
      <c r="W29" t="str">
        <f t="shared" si="8"/>
        <v>000-2026-11</v>
      </c>
      <c r="X29">
        <f>COUNTIFS(Positions!$A:$A,A29)</f>
        <v>2</v>
      </c>
      <c r="Y29">
        <f>SUM($U$19:U29)</f>
        <v>714909.15</v>
      </c>
      <c r="Z29" t="str">
        <f>UPPER(TRIM(INDEX('Entity Map'!$E:$E,MATCH(A29,'Entity Map'!$A:$A,0))))</f>
        <v>EQUITY</v>
      </c>
      <c r="AA29">
        <f>SUMIFS(Positions!$F:$F,Positions!$E:$E,Z29)</f>
        <v>2806311623.6099992</v>
      </c>
      <c r="AB29">
        <f t="shared" si="9"/>
        <v>5.8464406472059412E-3</v>
      </c>
      <c r="AC29">
        <f>SUMPRODUCT(Positions!$F$18:$F$185,--(Positions!$A$18:$A$185=A29))</f>
        <v>32813868.689999998</v>
      </c>
      <c r="AD29" t="str">
        <f t="shared" si="10"/>
        <v>B</v>
      </c>
      <c r="AE29">
        <f>COUNTIF('Entity Map'!$A:$A,A29)</f>
        <v>1</v>
      </c>
      <c r="AF29">
        <f>MAX(Positions!$C:$C)</f>
        <v>46354</v>
      </c>
      <c r="AG29">
        <f t="shared" si="11"/>
        <v>2026</v>
      </c>
      <c r="AH29">
        <f t="shared" si="12"/>
        <v>42658.03</v>
      </c>
      <c r="AI29">
        <f t="shared" si="13"/>
        <v>8264.989999999998</v>
      </c>
      <c r="AJ29">
        <f t="shared" si="14"/>
        <v>8017.0402999999978</v>
      </c>
      <c r="AK29" t="str">
        <f t="shared" si="15"/>
        <v>00011 / 8017.04</v>
      </c>
    </row>
    <row r="30" spans="1:37" x14ac:dyDescent="0.35">
      <c r="A30" t="s">
        <v>47</v>
      </c>
      <c r="B30" t="str">
        <f>INDEX('Entity Map'!$B:$B,MATCH(A30,'Entity Map'!$A:$A,0))</f>
        <v>Client 012 Holdings</v>
      </c>
      <c r="C30">
        <f>INDEX('Entity Map'!$F:$F,MATCH(A30,'Entity Map'!$A:$A,0))</f>
        <v>45363</v>
      </c>
      <c r="D30">
        <f t="shared" si="0"/>
        <v>46327</v>
      </c>
      <c r="E30" t="str">
        <f t="shared" si="1"/>
        <v>2026-11</v>
      </c>
      <c r="F30">
        <f>AVERAGEIFS(Positions!$F:$F,Positions!$A:$A,A30)</f>
        <v>13346470.82</v>
      </c>
      <c r="G30">
        <f t="shared" si="16"/>
        <v>16406934.344999999</v>
      </c>
      <c r="H30">
        <f t="shared" si="17"/>
        <v>13346470.82</v>
      </c>
      <c r="I30">
        <f>VLOOKUP(F30,'Fee Schedule'!$D$5:$F$8,3,TRUE)</f>
        <v>27.5</v>
      </c>
      <c r="J30">
        <f>IFERROR(VLOOKUP(A30,'Fee Schedule'!$A$5:$B$21,2,FALSE),I30)</f>
        <v>27.5</v>
      </c>
      <c r="K30" t="str">
        <f>INDEX('Entity Map'!$C:$C,MATCH(A30,'Entity Map'!$A:$A,0))</f>
        <v>DubCo</v>
      </c>
      <c r="L30" t="str">
        <f>INDEX('Entity Map'!$D:$D,MATCH(A30,'Entity Map'!$A:$A,0))</f>
        <v>CC-150</v>
      </c>
      <c r="M30">
        <f t="shared" si="2"/>
        <v>36702.79</v>
      </c>
      <c r="N30">
        <f t="shared" si="3"/>
        <v>30</v>
      </c>
      <c r="O30">
        <f t="shared" si="4"/>
        <v>30</v>
      </c>
      <c r="P30">
        <f t="shared" si="5"/>
        <v>36702.79</v>
      </c>
      <c r="Q30">
        <f>MAX(P30,'Fee Schedule'!$I$3)</f>
        <v>36702.79</v>
      </c>
      <c r="R30">
        <f>MIN(Q30,'Fee Schedule'!$I$4)</f>
        <v>36702.79</v>
      </c>
      <c r="S30">
        <f>IFERROR(R30*'Fee Schedule'!$I$5,0)</f>
        <v>917.56975000000011</v>
      </c>
      <c r="T30">
        <f t="shared" si="6"/>
        <v>35785.22</v>
      </c>
      <c r="U30">
        <f>IFERROR(VLOOKUP(A30,Overrides!$A:$C,3,FALSE),T30)</f>
        <v>35785.22</v>
      </c>
      <c r="V30" t="str">
        <f t="shared" si="7"/>
        <v/>
      </c>
      <c r="W30" t="str">
        <f t="shared" si="8"/>
        <v>000-2026-11</v>
      </c>
      <c r="X30">
        <f>COUNTIFS(Positions!$A:$A,A30)</f>
        <v>2</v>
      </c>
      <c r="Y30">
        <f>SUM($U$19:U30)</f>
        <v>750694.37</v>
      </c>
      <c r="Z30" t="str">
        <f>UPPER(TRIM(INDEX('Entity Map'!$E:$E,MATCH(A30,'Entity Map'!$A:$A,0))))</f>
        <v>FIXED INCOME</v>
      </c>
      <c r="AA30">
        <f>SUMIFS(Positions!$F:$F,Positions!$E:$E,Z30)</f>
        <v>2496645976.4000001</v>
      </c>
      <c r="AB30">
        <f t="shared" si="9"/>
        <v>5.3457602504159343E-3</v>
      </c>
      <c r="AC30">
        <f>SUMPRODUCT(Positions!$F$18:$F$185,--(Positions!$A$18:$A$185=A30))</f>
        <v>26692941.640000001</v>
      </c>
      <c r="AD30" t="str">
        <f t="shared" si="10"/>
        <v>B</v>
      </c>
      <c r="AE30">
        <f>COUNTIF('Entity Map'!$A:$A,A30)</f>
        <v>1</v>
      </c>
      <c r="AF30">
        <f>MAX(Positions!$C:$C)</f>
        <v>46354</v>
      </c>
      <c r="AG30">
        <f t="shared" si="11"/>
        <v>2026</v>
      </c>
      <c r="AH30">
        <f t="shared" si="12"/>
        <v>34700.82</v>
      </c>
      <c r="AI30">
        <f t="shared" si="13"/>
        <v>-1084.4000000000015</v>
      </c>
      <c r="AJ30">
        <f t="shared" si="14"/>
        <v>-1051.8680000000013</v>
      </c>
      <c r="AK30" t="str">
        <f t="shared" si="15"/>
        <v>00012 / -1051.87</v>
      </c>
    </row>
    <row r="31" spans="1:37" x14ac:dyDescent="0.35">
      <c r="A31" t="s">
        <v>49</v>
      </c>
      <c r="B31" t="str">
        <f>INDEX('Entity Map'!$B:$B,MATCH(A31,'Entity Map'!$A:$A,0))</f>
        <v>Client 013 Holdings</v>
      </c>
      <c r="C31">
        <f>INDEX('Entity Map'!$F:$F,MATCH(A31,'Entity Map'!$A:$A,0))</f>
        <v>46338</v>
      </c>
      <c r="D31">
        <f t="shared" si="0"/>
        <v>46338</v>
      </c>
      <c r="E31" t="str">
        <f t="shared" si="1"/>
        <v>2026-11</v>
      </c>
      <c r="F31">
        <f>AVERAGEIFS(Positions!$F:$F,Positions!$A:$A,A31)</f>
        <v>26995267.204999998</v>
      </c>
      <c r="G31">
        <f t="shared" si="16"/>
        <v>13346470.82</v>
      </c>
      <c r="H31">
        <f t="shared" si="17"/>
        <v>26995267.204999998</v>
      </c>
      <c r="I31">
        <f>VLOOKUP(F31,'Fee Schedule'!$D$5:$F$8,3,TRUE)</f>
        <v>22</v>
      </c>
      <c r="J31">
        <f>IFERROR(VLOOKUP(A31,'Fee Schedule'!$A$5:$B$21,2,FALSE),I31)</f>
        <v>22</v>
      </c>
      <c r="K31" t="str">
        <f>INDEX('Entity Map'!$C:$C,MATCH(A31,'Entity Map'!$A:$A,0))</f>
        <v>LuxCo</v>
      </c>
      <c r="L31" t="str">
        <f>INDEX('Entity Map'!$D:$D,MATCH(A31,'Entity Map'!$A:$A,0))</f>
        <v>CC-100</v>
      </c>
      <c r="M31">
        <f t="shared" si="2"/>
        <v>59389.59</v>
      </c>
      <c r="N31">
        <f t="shared" si="3"/>
        <v>30</v>
      </c>
      <c r="O31">
        <f t="shared" si="4"/>
        <v>19</v>
      </c>
      <c r="P31">
        <f t="shared" si="5"/>
        <v>37613.410000000003</v>
      </c>
      <c r="Q31">
        <f>MAX(P31,'Fee Schedule'!$I$3)</f>
        <v>37613.410000000003</v>
      </c>
      <c r="R31">
        <f>MIN(Q31,'Fee Schedule'!$I$4)</f>
        <v>37613.410000000003</v>
      </c>
      <c r="S31">
        <f>IFERROR(R31*'Fee Schedule'!$I$5,0)</f>
        <v>940.33525000000009</v>
      </c>
      <c r="T31">
        <f t="shared" si="6"/>
        <v>36673.07</v>
      </c>
      <c r="U31">
        <f>IFERROR(VLOOKUP(A31,Overrides!$A:$C,3,FALSE),T31)</f>
        <v>36673.07</v>
      </c>
      <c r="V31" t="str">
        <f t="shared" si="7"/>
        <v/>
      </c>
      <c r="W31" t="str">
        <f t="shared" si="8"/>
        <v>000-2026-11</v>
      </c>
      <c r="X31">
        <f>COUNTIFS(Positions!$A:$A,A31)</f>
        <v>2</v>
      </c>
      <c r="Y31">
        <f>SUM($U$19:U31)</f>
        <v>787367.44</v>
      </c>
      <c r="Z31" t="str">
        <f>UPPER(TRIM(INDEX('Entity Map'!$E:$E,MATCH(A31,'Entity Map'!$A:$A,0))))</f>
        <v>BALANCED</v>
      </c>
      <c r="AA31">
        <f>SUMIFS(Positions!$F:$F,Positions!$E:$E,Z31)</f>
        <v>2420753390.7000003</v>
      </c>
      <c r="AB31">
        <f t="shared" si="9"/>
        <v>1.1151597394724242E-2</v>
      </c>
      <c r="AC31">
        <f>SUMPRODUCT(Positions!$F$18:$F$185,--(Positions!$A$18:$A$185=A31))</f>
        <v>53990534.409999996</v>
      </c>
      <c r="AD31" t="str">
        <f t="shared" si="10"/>
        <v>B</v>
      </c>
      <c r="AE31">
        <f>COUNTIF('Entity Map'!$A:$A,A31)</f>
        <v>1</v>
      </c>
      <c r="AF31">
        <f>MAX(Positions!$C:$C)</f>
        <v>46354</v>
      </c>
      <c r="AG31">
        <f t="shared" si="11"/>
        <v>2026</v>
      </c>
      <c r="AH31">
        <f t="shared" si="12"/>
        <v>70187.69</v>
      </c>
      <c r="AI31">
        <f t="shared" si="13"/>
        <v>33514.620000000003</v>
      </c>
      <c r="AJ31">
        <f t="shared" si="14"/>
        <v>32509.181400000001</v>
      </c>
      <c r="AK31" t="str">
        <f t="shared" si="15"/>
        <v>00013 / 32509.18</v>
      </c>
    </row>
    <row r="32" spans="1:37" x14ac:dyDescent="0.35">
      <c r="A32" t="s">
        <v>51</v>
      </c>
      <c r="B32" t="str">
        <f>INDEX('Entity Map'!$B:$B,MATCH(A32,'Entity Map'!$A:$A,0))</f>
        <v>Client 014 Holdings</v>
      </c>
      <c r="C32">
        <f>INDEX('Entity Map'!$F:$F,MATCH(A32,'Entity Map'!$A:$A,0))</f>
        <v>45365</v>
      </c>
      <c r="D32">
        <f t="shared" si="0"/>
        <v>46327</v>
      </c>
      <c r="E32" t="str">
        <f t="shared" si="1"/>
        <v>2026-11</v>
      </c>
      <c r="F32">
        <f>AVERAGEIFS(Positions!$F:$F,Positions!$A:$A,A32)</f>
        <v>20425770.585000001</v>
      </c>
      <c r="G32">
        <f t="shared" si="16"/>
        <v>26995267.204999998</v>
      </c>
      <c r="H32">
        <f t="shared" si="17"/>
        <v>20425770.585000001</v>
      </c>
      <c r="I32">
        <f>VLOOKUP(F32,'Fee Schedule'!$D$5:$F$8,3,TRUE)</f>
        <v>22</v>
      </c>
      <c r="J32">
        <f>IFERROR(VLOOKUP(A32,'Fee Schedule'!$A$5:$B$21,2,FALSE),I32)</f>
        <v>22</v>
      </c>
      <c r="K32" t="str">
        <f>INDEX('Entity Map'!$C:$C,MATCH(A32,'Entity Map'!$A:$A,0))</f>
        <v>UKCo</v>
      </c>
      <c r="L32" t="str">
        <f>INDEX('Entity Map'!$D:$D,MATCH(A32,'Entity Map'!$A:$A,0))</f>
        <v>CC-110</v>
      </c>
      <c r="M32">
        <f t="shared" si="2"/>
        <v>44936.7</v>
      </c>
      <c r="N32">
        <f t="shared" si="3"/>
        <v>30</v>
      </c>
      <c r="O32">
        <f t="shared" si="4"/>
        <v>30</v>
      </c>
      <c r="P32">
        <f t="shared" si="5"/>
        <v>44936.7</v>
      </c>
      <c r="Q32">
        <f>MAX(P32,'Fee Schedule'!$I$3)</f>
        <v>44936.7</v>
      </c>
      <c r="R32">
        <f>MIN(Q32,'Fee Schedule'!$I$4)</f>
        <v>44936.7</v>
      </c>
      <c r="S32">
        <f>IFERROR(R32*'Fee Schedule'!$I$5,0)</f>
        <v>1123.4175</v>
      </c>
      <c r="T32">
        <f t="shared" si="6"/>
        <v>43813.279999999999</v>
      </c>
      <c r="U32">
        <f>IFERROR(VLOOKUP(A32,Overrides!$A:$C,3,FALSE),T32)</f>
        <v>43813.279999999999</v>
      </c>
      <c r="V32" t="str">
        <f t="shared" si="7"/>
        <v/>
      </c>
      <c r="W32" t="str">
        <f t="shared" si="8"/>
        <v>000-2026-11</v>
      </c>
      <c r="X32">
        <f>COUNTIFS(Positions!$A:$A,A32)</f>
        <v>2</v>
      </c>
      <c r="Y32">
        <f>SUM($U$19:U32)</f>
        <v>831180.72</v>
      </c>
      <c r="Z32" t="str">
        <f>UPPER(TRIM(INDEX('Entity Map'!$E:$E,MATCH(A32,'Entity Map'!$A:$A,0))))</f>
        <v>EQUITY</v>
      </c>
      <c r="AA32">
        <f>SUMIFS(Positions!$F:$F,Positions!$E:$E,Z32)</f>
        <v>2806311623.6099992</v>
      </c>
      <c r="AB32">
        <f t="shared" si="9"/>
        <v>7.2785112006643728E-3</v>
      </c>
      <c r="AC32">
        <f>SUMPRODUCT(Positions!$F$18:$F$185,--(Positions!$A$18:$A$185=A32))</f>
        <v>40851541.170000002</v>
      </c>
      <c r="AD32" t="str">
        <f t="shared" si="10"/>
        <v>A</v>
      </c>
      <c r="AE32">
        <f>COUNTIF('Entity Map'!$A:$A,A32)</f>
        <v>1</v>
      </c>
      <c r="AF32">
        <f>MAX(Positions!$C:$C)</f>
        <v>46354</v>
      </c>
      <c r="AG32">
        <f t="shared" si="11"/>
        <v>2026</v>
      </c>
      <c r="AH32">
        <f t="shared" si="12"/>
        <v>53107</v>
      </c>
      <c r="AI32">
        <f t="shared" si="13"/>
        <v>9293.7200000000012</v>
      </c>
      <c r="AJ32">
        <f t="shared" si="14"/>
        <v>9014.9084000000003</v>
      </c>
      <c r="AK32" t="str">
        <f t="shared" si="15"/>
        <v>00014 / 9014.91</v>
      </c>
    </row>
    <row r="33" spans="1:37" x14ac:dyDescent="0.35">
      <c r="A33" t="s">
        <v>53</v>
      </c>
      <c r="B33" t="str">
        <f>INDEX('Entity Map'!$B:$B,MATCH(A33,'Entity Map'!$A:$A,0))</f>
        <v>Client 015 Holdings</v>
      </c>
      <c r="C33">
        <f>INDEX('Entity Map'!$F:$F,MATCH(A33,'Entity Map'!$A:$A,0))</f>
        <v>45366</v>
      </c>
      <c r="D33">
        <f t="shared" si="0"/>
        <v>46327</v>
      </c>
      <c r="E33" t="str">
        <f t="shared" si="1"/>
        <v>2026-11</v>
      </c>
      <c r="F33">
        <f>AVERAGEIFS(Positions!$F:$F,Positions!$A:$A,A33)</f>
        <v>41238488.075000003</v>
      </c>
      <c r="G33">
        <f t="shared" si="16"/>
        <v>20425770.585000001</v>
      </c>
      <c r="H33">
        <f t="shared" si="17"/>
        <v>41238488.075000003</v>
      </c>
      <c r="I33">
        <f>VLOOKUP(F33,'Fee Schedule'!$D$5:$F$8,3,TRUE)</f>
        <v>22</v>
      </c>
      <c r="J33">
        <f>IFERROR(VLOOKUP(A33,'Fee Schedule'!$A$5:$B$21,2,FALSE),I33)</f>
        <v>22</v>
      </c>
      <c r="K33" t="str">
        <f>INDEX('Entity Map'!$C:$C,MATCH(A33,'Entity Map'!$A:$A,0))</f>
        <v>DubCo</v>
      </c>
      <c r="L33" t="str">
        <f>INDEX('Entity Map'!$D:$D,MATCH(A33,'Entity Map'!$A:$A,0))</f>
        <v>CC-120</v>
      </c>
      <c r="M33">
        <f t="shared" si="2"/>
        <v>90724.67</v>
      </c>
      <c r="N33">
        <f t="shared" si="3"/>
        <v>30</v>
      </c>
      <c r="O33">
        <f t="shared" si="4"/>
        <v>30</v>
      </c>
      <c r="P33">
        <f t="shared" si="5"/>
        <v>90724.67</v>
      </c>
      <c r="Q33">
        <f>MAX(P33,'Fee Schedule'!$I$3)</f>
        <v>90724.67</v>
      </c>
      <c r="R33">
        <f>MIN(Q33,'Fee Schedule'!$I$4)</f>
        <v>90724.67</v>
      </c>
      <c r="S33">
        <f>IFERROR(R33*'Fee Schedule'!$I$5,0)</f>
        <v>2268.1167500000001</v>
      </c>
      <c r="T33">
        <f t="shared" si="6"/>
        <v>88456.55</v>
      </c>
      <c r="U33">
        <f>IFERROR(VLOOKUP(A33,Overrides!$A:$C,3,FALSE),T33)</f>
        <v>88456.55</v>
      </c>
      <c r="V33" t="str">
        <f t="shared" si="7"/>
        <v/>
      </c>
      <c r="W33" t="str">
        <f t="shared" si="8"/>
        <v>000-2026-11</v>
      </c>
      <c r="X33">
        <f>COUNTIFS(Positions!$A:$A,A33)</f>
        <v>2</v>
      </c>
      <c r="Y33">
        <f>SUM($U$19:U33)</f>
        <v>919637.27</v>
      </c>
      <c r="Z33" t="str">
        <f>UPPER(TRIM(INDEX('Entity Map'!$E:$E,MATCH(A33,'Entity Map'!$A:$A,0))))</f>
        <v>FIXED INCOME</v>
      </c>
      <c r="AA33">
        <f>SUMIFS(Positions!$F:$F,Positions!$E:$E,Z33)</f>
        <v>2496645976.4000001</v>
      </c>
      <c r="AB33">
        <f t="shared" si="9"/>
        <v>1.6517555338167407E-2</v>
      </c>
      <c r="AC33">
        <f>SUMPRODUCT(Positions!$F$18:$F$185,--(Positions!$A$18:$A$185=A33))</f>
        <v>82476976.150000006</v>
      </c>
      <c r="AD33" t="str">
        <f t="shared" si="10"/>
        <v>A</v>
      </c>
      <c r="AE33">
        <f>COUNTIF('Entity Map'!$A:$A,A33)</f>
        <v>1</v>
      </c>
      <c r="AF33">
        <f>MAX(Positions!$C:$C)</f>
        <v>46354</v>
      </c>
      <c r="AG33">
        <f t="shared" si="11"/>
        <v>2026</v>
      </c>
      <c r="AH33">
        <f t="shared" si="12"/>
        <v>107220.07</v>
      </c>
      <c r="AI33">
        <f t="shared" si="13"/>
        <v>18763.520000000004</v>
      </c>
      <c r="AJ33">
        <f t="shared" si="14"/>
        <v>18200.614400000002</v>
      </c>
      <c r="AK33" t="str">
        <f t="shared" si="15"/>
        <v>00015 / 18200.61</v>
      </c>
    </row>
    <row r="34" spans="1:37" x14ac:dyDescent="0.35">
      <c r="A34" t="s">
        <v>55</v>
      </c>
      <c r="B34" t="str">
        <f>INDEX('Entity Map'!$B:$B,MATCH(A34,'Entity Map'!$A:$A,0))</f>
        <v>Client 016 Holdings</v>
      </c>
      <c r="C34">
        <f>INDEX('Entity Map'!$F:$F,MATCH(A34,'Entity Map'!$A:$A,0))</f>
        <v>45367</v>
      </c>
      <c r="D34">
        <f t="shared" si="0"/>
        <v>46327</v>
      </c>
      <c r="E34" t="str">
        <f t="shared" si="1"/>
        <v>2026-11</v>
      </c>
      <c r="F34">
        <f>AVERAGEIFS(Positions!$F:$F,Positions!$A:$A,A34)</f>
        <v>70814066.594999999</v>
      </c>
      <c r="G34">
        <f t="shared" si="16"/>
        <v>41238488.075000003</v>
      </c>
      <c r="H34">
        <f t="shared" si="17"/>
        <v>70814066.594999999</v>
      </c>
      <c r="I34">
        <f>VLOOKUP(F34,'Fee Schedule'!$D$5:$F$8,3,TRUE)</f>
        <v>18.5</v>
      </c>
      <c r="J34" t="str">
        <f>IFERROR(VLOOKUP(A34,'Fee Schedule'!$A$5:$B$21,2,FALSE),I34)</f>
        <v>29.0</v>
      </c>
      <c r="K34" t="str">
        <f>INDEX('Entity Map'!$C:$C,MATCH(A34,'Entity Map'!$A:$A,0))</f>
        <v>LuxCo</v>
      </c>
      <c r="L34" t="str">
        <f>INDEX('Entity Map'!$D:$D,MATCH(A34,'Entity Map'!$A:$A,0))</f>
        <v>CC-130</v>
      </c>
      <c r="M34">
        <f t="shared" si="2"/>
        <v>205360.79</v>
      </c>
      <c r="N34">
        <f t="shared" si="3"/>
        <v>30</v>
      </c>
      <c r="O34">
        <f t="shared" si="4"/>
        <v>30</v>
      </c>
      <c r="P34">
        <f t="shared" si="5"/>
        <v>205360.79</v>
      </c>
      <c r="Q34">
        <f>MAX(P34,'Fee Schedule'!$I$3)</f>
        <v>205360.79</v>
      </c>
      <c r="R34">
        <f>MIN(Q34,'Fee Schedule'!$I$4)</f>
        <v>205360.79</v>
      </c>
      <c r="S34">
        <f>IFERROR(R34*'Fee Schedule'!$I$5,0)</f>
        <v>5134.0197500000004</v>
      </c>
      <c r="T34">
        <f t="shared" si="6"/>
        <v>200226.77</v>
      </c>
      <c r="U34">
        <f>IFERROR(VLOOKUP(A34,Overrides!$A:$C,3,FALSE),T34)</f>
        <v>200226.77</v>
      </c>
      <c r="V34" t="str">
        <f t="shared" si="7"/>
        <v/>
      </c>
      <c r="W34" t="str">
        <f t="shared" si="8"/>
        <v>000-2026-11</v>
      </c>
      <c r="X34">
        <f>COUNTIFS(Positions!$A:$A,A34)</f>
        <v>2</v>
      </c>
      <c r="Y34">
        <f>SUM($U$19:U34)</f>
        <v>1119864.04</v>
      </c>
      <c r="Z34" t="str">
        <f>UPPER(TRIM(INDEX('Entity Map'!$E:$E,MATCH(A34,'Entity Map'!$A:$A,0))))</f>
        <v>BALANCED</v>
      </c>
      <c r="AA34">
        <f>SUMIFS(Positions!$F:$F,Positions!$E:$E,Z34)</f>
        <v>2420753390.7000003</v>
      </c>
      <c r="AB34">
        <f t="shared" si="9"/>
        <v>2.9252904020315329E-2</v>
      </c>
      <c r="AC34">
        <f>SUMPRODUCT(Positions!$F$18:$F$185,--(Positions!$A$18:$A$185=A34))</f>
        <v>141628133.19</v>
      </c>
      <c r="AD34" t="str">
        <f t="shared" si="10"/>
        <v>A</v>
      </c>
      <c r="AE34">
        <f>COUNTIF('Entity Map'!$A:$A,A34)</f>
        <v>1</v>
      </c>
      <c r="AF34">
        <f>MAX(Positions!$C:$C)</f>
        <v>46354</v>
      </c>
      <c r="AG34">
        <f t="shared" si="11"/>
        <v>2026</v>
      </c>
      <c r="AH34">
        <f t="shared" si="12"/>
        <v>184116.57</v>
      </c>
      <c r="AI34">
        <f t="shared" si="13"/>
        <v>-16110.199999999983</v>
      </c>
      <c r="AJ34">
        <f t="shared" si="14"/>
        <v>-15626.893999999982</v>
      </c>
      <c r="AK34" t="str">
        <f t="shared" si="15"/>
        <v>00016 / -15626.89</v>
      </c>
    </row>
    <row r="35" spans="1:37" x14ac:dyDescent="0.35">
      <c r="A35" t="s">
        <v>57</v>
      </c>
      <c r="B35" t="str">
        <f>INDEX('Entity Map'!$B:$B,MATCH(A35,'Entity Map'!$A:$A,0))</f>
        <v>Client 017 Holdings</v>
      </c>
      <c r="C35">
        <f>INDEX('Entity Map'!$F:$F,MATCH(A35,'Entity Map'!$A:$A,0))</f>
        <v>45368</v>
      </c>
      <c r="D35">
        <f t="shared" si="0"/>
        <v>46327</v>
      </c>
      <c r="E35" t="str">
        <f t="shared" si="1"/>
        <v>2026-11</v>
      </c>
      <c r="F35">
        <f>AVERAGEIFS(Positions!$F:$F,Positions!$A:$A,A35)</f>
        <v>7209550.2300000004</v>
      </c>
      <c r="G35">
        <f t="shared" si="16"/>
        <v>70814066.594999999</v>
      </c>
      <c r="H35">
        <f t="shared" si="17"/>
        <v>7209550.2300000004</v>
      </c>
      <c r="I35">
        <f>VLOOKUP(F35,'Fee Schedule'!$D$5:$F$8,3,TRUE)</f>
        <v>27.5</v>
      </c>
      <c r="J35">
        <f>IFERROR(VLOOKUP(A35,'Fee Schedule'!$A$5:$B$21,2,FALSE),I35)</f>
        <v>27.5</v>
      </c>
      <c r="K35" t="str">
        <f>INDEX('Entity Map'!$C:$C,MATCH(A35,'Entity Map'!$A:$A,0))</f>
        <v>UKCo</v>
      </c>
      <c r="L35" t="str">
        <f>INDEX('Entity Map'!$D:$D,MATCH(A35,'Entity Map'!$A:$A,0))</f>
        <v>CC-140</v>
      </c>
      <c r="M35">
        <f t="shared" si="2"/>
        <v>19826.259999999998</v>
      </c>
      <c r="N35">
        <f t="shared" si="3"/>
        <v>30</v>
      </c>
      <c r="O35">
        <f t="shared" si="4"/>
        <v>30</v>
      </c>
      <c r="P35">
        <f t="shared" si="5"/>
        <v>19826.259999999998</v>
      </c>
      <c r="Q35">
        <f>MAX(P35,'Fee Schedule'!$I$3)</f>
        <v>19826.259999999998</v>
      </c>
      <c r="R35">
        <f>MIN(Q35,'Fee Schedule'!$I$4)</f>
        <v>19826.259999999998</v>
      </c>
      <c r="S35">
        <f>IFERROR(R35*'Fee Schedule'!$I$5,0)</f>
        <v>495.65649999999999</v>
      </c>
      <c r="T35">
        <f t="shared" si="6"/>
        <v>19330.599999999999</v>
      </c>
      <c r="U35">
        <f>IFERROR(VLOOKUP(A35,Overrides!$A:$C,3,FALSE),T35)</f>
        <v>19330.599999999999</v>
      </c>
      <c r="V35" t="str">
        <f t="shared" si="7"/>
        <v/>
      </c>
      <c r="W35" t="str">
        <f t="shared" si="8"/>
        <v>000-2026-11</v>
      </c>
      <c r="X35">
        <f>COUNTIFS(Positions!$A:$A,A35)</f>
        <v>2</v>
      </c>
      <c r="Y35">
        <f>SUM($U$19:U35)</f>
        <v>1139194.6399999999</v>
      </c>
      <c r="Z35" t="str">
        <f>UPPER(TRIM(INDEX('Entity Map'!$E:$E,MATCH(A35,'Entity Map'!$A:$A,0))))</f>
        <v>EQUITY</v>
      </c>
      <c r="AA35">
        <f>SUMIFS(Positions!$F:$F,Positions!$E:$E,Z35)</f>
        <v>2806311623.6099992</v>
      </c>
      <c r="AB35">
        <f t="shared" si="9"/>
        <v>2.5690483442197833E-3</v>
      </c>
      <c r="AC35">
        <f>SUMPRODUCT(Positions!$F$18:$F$185,--(Positions!$A$18:$A$185=A35))</f>
        <v>14419100.460000001</v>
      </c>
      <c r="AD35" t="str">
        <f t="shared" si="10"/>
        <v>B</v>
      </c>
      <c r="AE35">
        <f>COUNTIF('Entity Map'!$A:$A,A35)</f>
        <v>1</v>
      </c>
      <c r="AF35">
        <f>MAX(Positions!$C:$C)</f>
        <v>46354</v>
      </c>
      <c r="AG35">
        <f t="shared" si="11"/>
        <v>2026</v>
      </c>
      <c r="AH35">
        <f t="shared" si="12"/>
        <v>18744.830000000002</v>
      </c>
      <c r="AI35">
        <f t="shared" si="13"/>
        <v>-585.7699999999968</v>
      </c>
      <c r="AJ35">
        <f t="shared" si="14"/>
        <v>-568.19689999999684</v>
      </c>
      <c r="AK35" t="str">
        <f t="shared" si="15"/>
        <v>00017 / -568.20</v>
      </c>
    </row>
    <row r="36" spans="1:37" x14ac:dyDescent="0.35">
      <c r="A36" t="s">
        <v>59</v>
      </c>
      <c r="B36" t="str">
        <f>INDEX('Entity Map'!$B:$B,MATCH(A36,'Entity Map'!$A:$A,0))</f>
        <v>Client 018 Holdings</v>
      </c>
      <c r="C36">
        <f>INDEX('Entity Map'!$F:$F,MATCH(A36,'Entity Map'!$A:$A,0))</f>
        <v>45369</v>
      </c>
      <c r="D36">
        <f t="shared" si="0"/>
        <v>46327</v>
      </c>
      <c r="E36" t="str">
        <f t="shared" si="1"/>
        <v>2026-11</v>
      </c>
      <c r="F36">
        <f>AVERAGEIFS(Positions!$F:$F,Positions!$A:$A,A36)</f>
        <v>43615754.280000001</v>
      </c>
      <c r="G36">
        <f t="shared" si="16"/>
        <v>7209550.2300000004</v>
      </c>
      <c r="H36">
        <f t="shared" si="17"/>
        <v>43615754.280000001</v>
      </c>
      <c r="I36">
        <f>VLOOKUP(F36,'Fee Schedule'!$D$5:$F$8,3,TRUE)</f>
        <v>22</v>
      </c>
      <c r="J36">
        <f>IFERROR(VLOOKUP(A36,'Fee Schedule'!$A$5:$B$21,2,FALSE),I36)</f>
        <v>22</v>
      </c>
      <c r="K36" t="str">
        <f>INDEX('Entity Map'!$C:$C,MATCH(A36,'Entity Map'!$A:$A,0))</f>
        <v>DubCo</v>
      </c>
      <c r="L36" t="str">
        <f>INDEX('Entity Map'!$D:$D,MATCH(A36,'Entity Map'!$A:$A,0))</f>
        <v>CC-150</v>
      </c>
      <c r="M36">
        <f t="shared" si="2"/>
        <v>95954.66</v>
      </c>
      <c r="N36">
        <f t="shared" si="3"/>
        <v>30</v>
      </c>
      <c r="O36">
        <f t="shared" si="4"/>
        <v>30</v>
      </c>
      <c r="P36">
        <f t="shared" si="5"/>
        <v>95954.66</v>
      </c>
      <c r="Q36">
        <f>MAX(P36,'Fee Schedule'!$I$3)</f>
        <v>95954.66</v>
      </c>
      <c r="R36">
        <f>MIN(Q36,'Fee Schedule'!$I$4)</f>
        <v>95954.66</v>
      </c>
      <c r="S36">
        <f>IFERROR(R36*'Fee Schedule'!$I$5,0)</f>
        <v>2398.8665000000001</v>
      </c>
      <c r="T36">
        <f t="shared" si="6"/>
        <v>93555.79</v>
      </c>
      <c r="U36">
        <f>IFERROR(VLOOKUP(A36,Overrides!$A:$C,3,FALSE),T36)</f>
        <v>93555.79</v>
      </c>
      <c r="V36" t="str">
        <f t="shared" si="7"/>
        <v/>
      </c>
      <c r="W36" t="str">
        <f t="shared" si="8"/>
        <v>000-2026-11</v>
      </c>
      <c r="X36">
        <f>COUNTIFS(Positions!$A:$A,A36)</f>
        <v>2</v>
      </c>
      <c r="Y36">
        <f>SUM($U$19:U36)</f>
        <v>1232750.43</v>
      </c>
      <c r="Z36" t="str">
        <f>UPPER(TRIM(INDEX('Entity Map'!$E:$E,MATCH(A36,'Entity Map'!$A:$A,0))))</f>
        <v>FIXED INCOME</v>
      </c>
      <c r="AA36">
        <f>SUMIFS(Positions!$F:$F,Positions!$E:$E,Z36)</f>
        <v>2496645976.4000001</v>
      </c>
      <c r="AB36">
        <f t="shared" si="9"/>
        <v>1.746973927913122E-2</v>
      </c>
      <c r="AC36">
        <f>SUMPRODUCT(Positions!$F$18:$F$185,--(Positions!$A$18:$A$185=A36))</f>
        <v>87231508.560000002</v>
      </c>
      <c r="AD36" t="str">
        <f t="shared" si="10"/>
        <v>A</v>
      </c>
      <c r="AE36">
        <f>COUNTIF('Entity Map'!$A:$A,A36)</f>
        <v>1</v>
      </c>
      <c r="AF36">
        <f>MAX(Positions!$C:$C)</f>
        <v>46354</v>
      </c>
      <c r="AG36">
        <f t="shared" si="11"/>
        <v>2026</v>
      </c>
      <c r="AH36">
        <f t="shared" si="12"/>
        <v>113400.96000000001</v>
      </c>
      <c r="AI36">
        <f t="shared" si="13"/>
        <v>19845.170000000013</v>
      </c>
      <c r="AJ36">
        <f t="shared" si="14"/>
        <v>19249.814900000012</v>
      </c>
      <c r="AK36" t="str">
        <f t="shared" si="15"/>
        <v>00018 / 19249.81</v>
      </c>
    </row>
    <row r="37" spans="1:37" x14ac:dyDescent="0.35">
      <c r="A37" t="s">
        <v>61</v>
      </c>
      <c r="B37" t="str">
        <f>INDEX('Entity Map'!$B:$B,MATCH(A37,'Entity Map'!$A:$A,0))</f>
        <v>Client 019 Holdings</v>
      </c>
      <c r="C37">
        <f>INDEX('Entity Map'!$F:$F,MATCH(A37,'Entity Map'!$A:$A,0))</f>
        <v>45370</v>
      </c>
      <c r="D37">
        <f t="shared" si="0"/>
        <v>46327</v>
      </c>
      <c r="E37" t="str">
        <f t="shared" si="1"/>
        <v>2026-11</v>
      </c>
      <c r="F37">
        <f>AVERAGEIFS(Positions!$F:$F,Positions!$A:$A,A37)</f>
        <v>32094298.015000001</v>
      </c>
      <c r="G37">
        <f t="shared" si="16"/>
        <v>43615754.280000001</v>
      </c>
      <c r="H37">
        <f t="shared" si="17"/>
        <v>32094298.015000001</v>
      </c>
      <c r="I37">
        <f>VLOOKUP(F37,'Fee Schedule'!$D$5:$F$8,3,TRUE)</f>
        <v>22</v>
      </c>
      <c r="J37">
        <f>IFERROR(VLOOKUP(A37,'Fee Schedule'!$A$5:$B$21,2,FALSE),I37)</f>
        <v>22</v>
      </c>
      <c r="K37" t="str">
        <f>INDEX('Entity Map'!$C:$C,MATCH(A37,'Entity Map'!$A:$A,0))</f>
        <v>LuxCo</v>
      </c>
      <c r="L37" t="str">
        <f>INDEX('Entity Map'!$D:$D,MATCH(A37,'Entity Map'!$A:$A,0))</f>
        <v>CC-100</v>
      </c>
      <c r="M37">
        <f t="shared" si="2"/>
        <v>70607.460000000006</v>
      </c>
      <c r="N37">
        <f t="shared" si="3"/>
        <v>30</v>
      </c>
      <c r="O37">
        <f t="shared" si="4"/>
        <v>30</v>
      </c>
      <c r="P37">
        <f t="shared" si="5"/>
        <v>70607.460000000006</v>
      </c>
      <c r="Q37">
        <f>MAX(P37,'Fee Schedule'!$I$3)</f>
        <v>70607.460000000006</v>
      </c>
      <c r="R37">
        <f>MIN(Q37,'Fee Schedule'!$I$4)</f>
        <v>70607.460000000006</v>
      </c>
      <c r="S37">
        <f>IFERROR(R37*'Fee Schedule'!$I$5,0)</f>
        <v>1765.1865000000003</v>
      </c>
      <c r="T37">
        <f t="shared" si="6"/>
        <v>68842.27</v>
      </c>
      <c r="U37">
        <f>IFERROR(VLOOKUP(A37,Overrides!$A:$C,3,FALSE),T37)</f>
        <v>68842.27</v>
      </c>
      <c r="V37" t="str">
        <f t="shared" si="7"/>
        <v/>
      </c>
      <c r="W37" t="str">
        <f t="shared" si="8"/>
        <v>000-2026-11</v>
      </c>
      <c r="X37">
        <f>COUNTIFS(Positions!$A:$A,A37)</f>
        <v>2</v>
      </c>
      <c r="Y37">
        <f>SUM($U$19:U37)</f>
        <v>1301592.7</v>
      </c>
      <c r="Z37" t="str">
        <f>UPPER(TRIM(INDEX('Entity Map'!$E:$E,MATCH(A37,'Entity Map'!$A:$A,0))))</f>
        <v>BALANCED</v>
      </c>
      <c r="AA37">
        <f>SUMIFS(Positions!$F:$F,Positions!$E:$E,Z37)</f>
        <v>2420753390.7000003</v>
      </c>
      <c r="AB37">
        <f t="shared" si="9"/>
        <v>1.3257979163965731E-2</v>
      </c>
      <c r="AC37">
        <f>SUMPRODUCT(Positions!$F$18:$F$185,--(Positions!$A$18:$A$185=A37))</f>
        <v>64188596.030000001</v>
      </c>
      <c r="AD37" t="str">
        <f t="shared" si="10"/>
        <v>A</v>
      </c>
      <c r="AE37">
        <f>COUNTIF('Entity Map'!$A:$A,A37)</f>
        <v>1</v>
      </c>
      <c r="AF37">
        <f>MAX(Positions!$C:$C)</f>
        <v>46354</v>
      </c>
      <c r="AG37">
        <f t="shared" si="11"/>
        <v>2026</v>
      </c>
      <c r="AH37">
        <f t="shared" si="12"/>
        <v>83445.17</v>
      </c>
      <c r="AI37">
        <f t="shared" si="13"/>
        <v>14602.899999999994</v>
      </c>
      <c r="AJ37">
        <f t="shared" si="14"/>
        <v>14164.812999999995</v>
      </c>
      <c r="AK37" t="str">
        <f t="shared" si="15"/>
        <v>00019 / 14164.81</v>
      </c>
    </row>
    <row r="38" spans="1:37" x14ac:dyDescent="0.35">
      <c r="A38" t="s">
        <v>63</v>
      </c>
      <c r="B38" t="str">
        <f>INDEX('Entity Map'!$B:$B,MATCH(A38,'Entity Map'!$A:$A,0))</f>
        <v>Client 020 Holdings</v>
      </c>
      <c r="C38">
        <f>INDEX('Entity Map'!$F:$F,MATCH(A38,'Entity Map'!$A:$A,0))</f>
        <v>45371</v>
      </c>
      <c r="D38">
        <f t="shared" si="0"/>
        <v>46327</v>
      </c>
      <c r="E38" t="str">
        <f t="shared" si="1"/>
        <v>2026-11</v>
      </c>
      <c r="F38">
        <f>AVERAGEIFS(Positions!$F:$F,Positions!$A:$A,A38)</f>
        <v>86004391.5</v>
      </c>
      <c r="G38">
        <f t="shared" si="16"/>
        <v>32094298.015000001</v>
      </c>
      <c r="H38">
        <f t="shared" si="17"/>
        <v>86004391.5</v>
      </c>
      <c r="I38">
        <f>VLOOKUP(F38,'Fee Schedule'!$D$5:$F$8,3,TRUE)</f>
        <v>18.5</v>
      </c>
      <c r="J38">
        <f>IFERROR(VLOOKUP(A38,'Fee Schedule'!$A$5:$B$21,2,FALSE),I38)</f>
        <v>18.5</v>
      </c>
      <c r="K38" t="str">
        <f>INDEX('Entity Map'!$C:$C,MATCH(A38,'Entity Map'!$A:$A,0))</f>
        <v>UKCo</v>
      </c>
      <c r="L38" t="str">
        <f>INDEX('Entity Map'!$D:$D,MATCH(A38,'Entity Map'!$A:$A,0))</f>
        <v>CC-110</v>
      </c>
      <c r="M38">
        <f t="shared" si="2"/>
        <v>159108.12</v>
      </c>
      <c r="N38">
        <f t="shared" si="3"/>
        <v>30</v>
      </c>
      <c r="O38">
        <f t="shared" si="4"/>
        <v>30</v>
      </c>
      <c r="P38">
        <f t="shared" si="5"/>
        <v>159108.12</v>
      </c>
      <c r="Q38">
        <f>MAX(P38,'Fee Schedule'!$I$3)</f>
        <v>159108.12</v>
      </c>
      <c r="R38">
        <f>MIN(Q38,'Fee Schedule'!$I$4)</f>
        <v>159108.12</v>
      </c>
      <c r="S38">
        <f>IFERROR(R38*'Fee Schedule'!$I$5,0)</f>
        <v>3977.703</v>
      </c>
      <c r="T38">
        <f t="shared" si="6"/>
        <v>155130.42000000001</v>
      </c>
      <c r="U38">
        <f>IFERROR(VLOOKUP(A38,Overrides!$A:$C,3,FALSE),T38)</f>
        <v>155130.42000000001</v>
      </c>
      <c r="V38" t="str">
        <f t="shared" si="7"/>
        <v/>
      </c>
      <c r="W38" t="str">
        <f t="shared" si="8"/>
        <v>000-2026-11</v>
      </c>
      <c r="X38">
        <f>COUNTIFS(Positions!$A:$A,A38)</f>
        <v>2</v>
      </c>
      <c r="Y38">
        <f>SUM($U$19:U38)</f>
        <v>1456723.12</v>
      </c>
      <c r="Z38" t="str">
        <f>UPPER(TRIM(INDEX('Entity Map'!$E:$E,MATCH(A38,'Entity Map'!$A:$A,0))))</f>
        <v>EQUITY</v>
      </c>
      <c r="AA38">
        <f>SUMIFS(Positions!$F:$F,Positions!$E:$E,Z38)</f>
        <v>2806311623.6099992</v>
      </c>
      <c r="AB38">
        <f t="shared" si="9"/>
        <v>3.0646771647321613E-2</v>
      </c>
      <c r="AC38">
        <f>SUMPRODUCT(Positions!$F$18:$F$185,--(Positions!$A$18:$A$185=A38))</f>
        <v>172008783</v>
      </c>
      <c r="AD38" t="str">
        <f t="shared" si="10"/>
        <v>A</v>
      </c>
      <c r="AE38">
        <f>COUNTIF('Entity Map'!$A:$A,A38)</f>
        <v>1</v>
      </c>
      <c r="AF38">
        <f>MAX(Positions!$C:$C)</f>
        <v>46354</v>
      </c>
      <c r="AG38">
        <f t="shared" si="11"/>
        <v>2026</v>
      </c>
      <c r="AH38">
        <f t="shared" si="12"/>
        <v>223611.42</v>
      </c>
      <c r="AI38">
        <f t="shared" si="13"/>
        <v>68481</v>
      </c>
      <c r="AJ38">
        <f t="shared" si="14"/>
        <v>66426.569999999992</v>
      </c>
      <c r="AK38" t="str">
        <f t="shared" si="15"/>
        <v>00020 / 66426.57</v>
      </c>
    </row>
    <row r="39" spans="1:37" x14ac:dyDescent="0.35">
      <c r="A39" t="s">
        <v>65</v>
      </c>
      <c r="B39" t="str">
        <f>INDEX('Entity Map'!$B:$B,MATCH(A39,'Entity Map'!$A:$A,0))</f>
        <v>Client 021 Holdings</v>
      </c>
      <c r="C39">
        <f>INDEX('Entity Map'!$F:$F,MATCH(A39,'Entity Map'!$A:$A,0))</f>
        <v>45372</v>
      </c>
      <c r="D39">
        <f t="shared" si="0"/>
        <v>46327</v>
      </c>
      <c r="E39" t="str">
        <f t="shared" si="1"/>
        <v>2026-11</v>
      </c>
      <c r="F39">
        <f>AVERAGEIFS(Positions!$F:$F,Positions!$A:$A,A39)</f>
        <v>78513351.24000001</v>
      </c>
      <c r="G39">
        <f t="shared" si="16"/>
        <v>86004391.5</v>
      </c>
      <c r="H39">
        <f t="shared" si="17"/>
        <v>78513351.24000001</v>
      </c>
      <c r="I39">
        <f>VLOOKUP(F39,'Fee Schedule'!$D$5:$F$8,3,TRUE)</f>
        <v>18.5</v>
      </c>
      <c r="J39" t="str">
        <f>IFERROR(VLOOKUP(A39,'Fee Schedule'!$A$5:$B$21,2,FALSE),I39)</f>
        <v>23.0</v>
      </c>
      <c r="K39" t="str">
        <f>INDEX('Entity Map'!$C:$C,MATCH(A39,'Entity Map'!$A:$A,0))</f>
        <v>DubCo</v>
      </c>
      <c r="L39" t="str">
        <f>INDEX('Entity Map'!$D:$D,MATCH(A39,'Entity Map'!$A:$A,0))</f>
        <v>CC-120</v>
      </c>
      <c r="M39">
        <f t="shared" si="2"/>
        <v>180580.71</v>
      </c>
      <c r="N39">
        <f t="shared" si="3"/>
        <v>30</v>
      </c>
      <c r="O39">
        <f t="shared" si="4"/>
        <v>30</v>
      </c>
      <c r="P39">
        <f t="shared" si="5"/>
        <v>180580.71</v>
      </c>
      <c r="Q39">
        <f>MAX(P39,'Fee Schedule'!$I$3)</f>
        <v>180580.71</v>
      </c>
      <c r="R39">
        <f>MIN(Q39,'Fee Schedule'!$I$4)</f>
        <v>180580.71</v>
      </c>
      <c r="S39">
        <f>IFERROR(R39*'Fee Schedule'!$I$5,0)</f>
        <v>4514.51775</v>
      </c>
      <c r="T39">
        <f t="shared" si="6"/>
        <v>176066.19</v>
      </c>
      <c r="U39">
        <f>IFERROR(VLOOKUP(A39,Overrides!$A:$C,3,FALSE),T39)</f>
        <v>176066.19</v>
      </c>
      <c r="V39" t="str">
        <f t="shared" si="7"/>
        <v/>
      </c>
      <c r="W39" t="str">
        <f t="shared" si="8"/>
        <v>000-2026-11</v>
      </c>
      <c r="X39">
        <f>COUNTIFS(Positions!$A:$A,A39)</f>
        <v>2</v>
      </c>
      <c r="Y39">
        <f>SUM($U$19:U39)</f>
        <v>1632789.31</v>
      </c>
      <c r="Z39" t="str">
        <f>UPPER(TRIM(INDEX('Entity Map'!$E:$E,MATCH(A39,'Entity Map'!$A:$A,0))))</f>
        <v>FIXED INCOME</v>
      </c>
      <c r="AA39">
        <f>SUMIFS(Positions!$F:$F,Positions!$E:$E,Z39)</f>
        <v>2496645976.4000001</v>
      </c>
      <c r="AB39">
        <f t="shared" si="9"/>
        <v>3.1447530800186224E-2</v>
      </c>
      <c r="AC39">
        <f>SUMPRODUCT(Positions!$F$18:$F$185,--(Positions!$A$18:$A$185=A39))</f>
        <v>157026702.48000002</v>
      </c>
      <c r="AD39" t="str">
        <f t="shared" si="10"/>
        <v>A</v>
      </c>
      <c r="AE39">
        <f>COUNTIF('Entity Map'!$A:$A,A39)</f>
        <v>1</v>
      </c>
      <c r="AF39">
        <f>MAX(Positions!$C:$C)</f>
        <v>46354</v>
      </c>
      <c r="AG39">
        <f t="shared" si="11"/>
        <v>2026</v>
      </c>
      <c r="AH39">
        <f t="shared" si="12"/>
        <v>204134.71</v>
      </c>
      <c r="AI39">
        <f t="shared" si="13"/>
        <v>28068.51999999999</v>
      </c>
      <c r="AJ39">
        <f t="shared" si="14"/>
        <v>27226.46439999999</v>
      </c>
      <c r="AK39" t="str">
        <f t="shared" si="15"/>
        <v>00021 / 27226.46</v>
      </c>
    </row>
    <row r="40" spans="1:37" x14ac:dyDescent="0.35">
      <c r="A40" t="s">
        <v>67</v>
      </c>
      <c r="B40" t="str">
        <f>INDEX('Entity Map'!$B:$B,MATCH(A40,'Entity Map'!$A:$A,0))</f>
        <v>Client 022 Holdings</v>
      </c>
      <c r="C40">
        <f>INDEX('Entity Map'!$F:$F,MATCH(A40,'Entity Map'!$A:$A,0))</f>
        <v>45373</v>
      </c>
      <c r="D40">
        <f t="shared" si="0"/>
        <v>46327</v>
      </c>
      <c r="E40" t="str">
        <f t="shared" si="1"/>
        <v>2026-11</v>
      </c>
      <c r="F40">
        <f>AVERAGEIFS(Positions!$F:$F,Positions!$A:$A,A40)</f>
        <v>43583922.140000001</v>
      </c>
      <c r="G40">
        <f t="shared" si="16"/>
        <v>78513351.24000001</v>
      </c>
      <c r="H40">
        <f t="shared" si="17"/>
        <v>43583922.140000001</v>
      </c>
      <c r="I40">
        <f>VLOOKUP(F40,'Fee Schedule'!$D$5:$F$8,3,TRUE)</f>
        <v>22</v>
      </c>
      <c r="J40">
        <f>IFERROR(VLOOKUP(A40,'Fee Schedule'!$A$5:$B$21,2,FALSE),I40)</f>
        <v>22</v>
      </c>
      <c r="K40" t="str">
        <f>INDEX('Entity Map'!$C:$C,MATCH(A40,'Entity Map'!$A:$A,0))</f>
        <v>LuxCo</v>
      </c>
      <c r="L40" t="str">
        <f>INDEX('Entity Map'!$D:$D,MATCH(A40,'Entity Map'!$A:$A,0))</f>
        <v>CC-130</v>
      </c>
      <c r="M40">
        <f t="shared" si="2"/>
        <v>95884.63</v>
      </c>
      <c r="N40">
        <f t="shared" si="3"/>
        <v>30</v>
      </c>
      <c r="O40">
        <f t="shared" si="4"/>
        <v>30</v>
      </c>
      <c r="P40">
        <f t="shared" si="5"/>
        <v>95884.63</v>
      </c>
      <c r="Q40">
        <f>MAX(P40,'Fee Schedule'!$I$3)</f>
        <v>95884.63</v>
      </c>
      <c r="R40">
        <f>MIN(Q40,'Fee Schedule'!$I$4)</f>
        <v>95884.63</v>
      </c>
      <c r="S40">
        <f>IFERROR(R40*'Fee Schedule'!$I$5,0)</f>
        <v>2397.1157500000004</v>
      </c>
      <c r="T40">
        <f t="shared" si="6"/>
        <v>93487.51</v>
      </c>
      <c r="U40">
        <f>IFERROR(VLOOKUP(A40,Overrides!$A:$C,3,FALSE),T40)</f>
        <v>93487.51</v>
      </c>
      <c r="V40" t="str">
        <f t="shared" si="7"/>
        <v/>
      </c>
      <c r="W40" t="str">
        <f t="shared" si="8"/>
        <v>000-2026-11</v>
      </c>
      <c r="X40">
        <f>COUNTIFS(Positions!$A:$A,A40)</f>
        <v>2</v>
      </c>
      <c r="Y40">
        <f>SUM($U$19:U40)</f>
        <v>1726276.82</v>
      </c>
      <c r="Z40" t="str">
        <f>UPPER(TRIM(INDEX('Entity Map'!$E:$E,MATCH(A40,'Entity Map'!$A:$A,0))))</f>
        <v>BALANCED</v>
      </c>
      <c r="AA40">
        <f>SUMIFS(Positions!$F:$F,Positions!$E:$E,Z40)</f>
        <v>2420753390.7000003</v>
      </c>
      <c r="AB40">
        <f t="shared" si="9"/>
        <v>1.8004280116859405E-2</v>
      </c>
      <c r="AC40">
        <f>SUMPRODUCT(Positions!$F$18:$F$185,--(Positions!$A$18:$A$185=A40))</f>
        <v>87167844.280000001</v>
      </c>
      <c r="AD40" t="str">
        <f t="shared" si="10"/>
        <v>A</v>
      </c>
      <c r="AE40">
        <f>COUNTIF('Entity Map'!$A:$A,A40)</f>
        <v>1</v>
      </c>
      <c r="AF40">
        <f>MAX(Positions!$C:$C)</f>
        <v>46354</v>
      </c>
      <c r="AG40">
        <f t="shared" si="11"/>
        <v>2026</v>
      </c>
      <c r="AH40">
        <f t="shared" si="12"/>
        <v>113318.2</v>
      </c>
      <c r="AI40">
        <f t="shared" si="13"/>
        <v>19830.690000000002</v>
      </c>
      <c r="AJ40">
        <f t="shared" si="14"/>
        <v>19235.7693</v>
      </c>
      <c r="AK40" t="str">
        <f t="shared" si="15"/>
        <v>00022 / 19235.77</v>
      </c>
    </row>
    <row r="41" spans="1:37" x14ac:dyDescent="0.35">
      <c r="A41" t="s">
        <v>69</v>
      </c>
      <c r="B41" t="str">
        <f>INDEX('Entity Map'!$B:$B,MATCH(A41,'Entity Map'!$A:$A,0))</f>
        <v>Client 023 Holdings</v>
      </c>
      <c r="C41">
        <f>INDEX('Entity Map'!$F:$F,MATCH(A41,'Entity Map'!$A:$A,0))</f>
        <v>45374</v>
      </c>
      <c r="D41">
        <f t="shared" si="0"/>
        <v>46327</v>
      </c>
      <c r="E41" t="str">
        <f t="shared" si="1"/>
        <v>2026-11</v>
      </c>
      <c r="F41">
        <f>AVERAGEIFS(Positions!$F:$F,Positions!$A:$A,A41)</f>
        <v>43817609.399999999</v>
      </c>
      <c r="G41">
        <f t="shared" si="16"/>
        <v>43583922.140000001</v>
      </c>
      <c r="H41">
        <f t="shared" si="17"/>
        <v>43817609.399999999</v>
      </c>
      <c r="I41">
        <f>VLOOKUP(F41,'Fee Schedule'!$D$5:$F$8,3,TRUE)</f>
        <v>22</v>
      </c>
      <c r="J41">
        <f>IFERROR(VLOOKUP(A41,'Fee Schedule'!$A$5:$B$21,2,FALSE),I41)</f>
        <v>22</v>
      </c>
      <c r="K41" t="str">
        <f>INDEX('Entity Map'!$C:$C,MATCH(A41,'Entity Map'!$A:$A,0))</f>
        <v>UKCo</v>
      </c>
      <c r="L41" t="str">
        <f>INDEX('Entity Map'!$D:$D,MATCH(A41,'Entity Map'!$A:$A,0))</f>
        <v>CC-140</v>
      </c>
      <c r="M41">
        <f t="shared" si="2"/>
        <v>96398.74</v>
      </c>
      <c r="N41">
        <f t="shared" si="3"/>
        <v>30</v>
      </c>
      <c r="O41">
        <f t="shared" si="4"/>
        <v>30</v>
      </c>
      <c r="P41">
        <f t="shared" si="5"/>
        <v>96398.74</v>
      </c>
      <c r="Q41">
        <f>MAX(P41,'Fee Schedule'!$I$3)</f>
        <v>96398.74</v>
      </c>
      <c r="R41">
        <f>MIN(Q41,'Fee Schedule'!$I$4)</f>
        <v>96398.74</v>
      </c>
      <c r="S41">
        <f>IFERROR(R41*'Fee Schedule'!$I$5,0)</f>
        <v>2409.9685000000004</v>
      </c>
      <c r="T41">
        <f t="shared" si="6"/>
        <v>93988.77</v>
      </c>
      <c r="U41">
        <f>IFERROR(VLOOKUP(A41,Overrides!$A:$C,3,FALSE),T41)</f>
        <v>93988.77</v>
      </c>
      <c r="V41" t="str">
        <f t="shared" si="7"/>
        <v/>
      </c>
      <c r="W41" t="str">
        <f t="shared" si="8"/>
        <v>000-2026-11</v>
      </c>
      <c r="X41">
        <f>COUNTIFS(Positions!$A:$A,A41)</f>
        <v>2</v>
      </c>
      <c r="Y41">
        <f>SUM($U$19:U41)</f>
        <v>1820265.59</v>
      </c>
      <c r="Z41" t="str">
        <f>UPPER(TRIM(INDEX('Entity Map'!$E:$E,MATCH(A41,'Entity Map'!$A:$A,0))))</f>
        <v>EQUITY</v>
      </c>
      <c r="AA41">
        <f>SUMIFS(Positions!$F:$F,Positions!$E:$E,Z41)</f>
        <v>2806311623.6099992</v>
      </c>
      <c r="AB41">
        <f t="shared" si="9"/>
        <v>1.5613950008742668E-2</v>
      </c>
      <c r="AC41">
        <f>SUMPRODUCT(Positions!$F$18:$F$185,--(Positions!$A$18:$A$185=A41))</f>
        <v>87635218.799999997</v>
      </c>
      <c r="AD41" t="str">
        <f t="shared" si="10"/>
        <v>A</v>
      </c>
      <c r="AE41">
        <f>COUNTIF('Entity Map'!$A:$A,A41)</f>
        <v>1</v>
      </c>
      <c r="AF41">
        <f>MAX(Positions!$C:$C)</f>
        <v>46354</v>
      </c>
      <c r="AG41">
        <f t="shared" si="11"/>
        <v>2026</v>
      </c>
      <c r="AH41">
        <f t="shared" si="12"/>
        <v>113925.78</v>
      </c>
      <c r="AI41">
        <f t="shared" si="13"/>
        <v>19937.009999999995</v>
      </c>
      <c r="AJ41">
        <f t="shared" si="14"/>
        <v>19338.899699999994</v>
      </c>
      <c r="AK41" t="str">
        <f t="shared" si="15"/>
        <v>00023 / 19338.90</v>
      </c>
    </row>
    <row r="42" spans="1:37" x14ac:dyDescent="0.35">
      <c r="A42" t="s">
        <v>71</v>
      </c>
      <c r="B42" t="str">
        <f>INDEX('Entity Map'!$B:$B,MATCH(A42,'Entity Map'!$A:$A,0))</f>
        <v>Client 024 Holdings</v>
      </c>
      <c r="C42">
        <f>INDEX('Entity Map'!$F:$F,MATCH(A42,'Entity Map'!$A:$A,0))</f>
        <v>45375</v>
      </c>
      <c r="D42">
        <f t="shared" si="0"/>
        <v>46327</v>
      </c>
      <c r="E42" t="str">
        <f t="shared" si="1"/>
        <v>2026-11</v>
      </c>
      <c r="F42">
        <f>AVERAGEIFS(Positions!$F:$F,Positions!$A:$A,A42)</f>
        <v>54513761.359999999</v>
      </c>
      <c r="G42">
        <f t="shared" si="16"/>
        <v>43817609.399999999</v>
      </c>
      <c r="H42">
        <f t="shared" si="17"/>
        <v>54513761.359999999</v>
      </c>
      <c r="I42">
        <f>VLOOKUP(F42,'Fee Schedule'!$D$5:$F$8,3,TRUE)</f>
        <v>18.5</v>
      </c>
      <c r="J42">
        <f>IFERROR(VLOOKUP(A42,'Fee Schedule'!$A$5:$B$21,2,FALSE),I42)</f>
        <v>18.5</v>
      </c>
      <c r="K42" t="str">
        <f>INDEX('Entity Map'!$C:$C,MATCH(A42,'Entity Map'!$A:$A,0))</f>
        <v>DubCo</v>
      </c>
      <c r="L42" t="str">
        <f>INDEX('Entity Map'!$D:$D,MATCH(A42,'Entity Map'!$A:$A,0))</f>
        <v>CC-150</v>
      </c>
      <c r="M42">
        <f t="shared" si="2"/>
        <v>100850.46</v>
      </c>
      <c r="N42">
        <f t="shared" si="3"/>
        <v>30</v>
      </c>
      <c r="O42">
        <f t="shared" si="4"/>
        <v>30</v>
      </c>
      <c r="P42">
        <f t="shared" si="5"/>
        <v>100850.46</v>
      </c>
      <c r="Q42">
        <f>MAX(P42,'Fee Schedule'!$I$3)</f>
        <v>100850.46</v>
      </c>
      <c r="R42">
        <f>MIN(Q42,'Fee Schedule'!$I$4)</f>
        <v>100850.46</v>
      </c>
      <c r="S42">
        <f>IFERROR(R42*'Fee Schedule'!$I$5,0)</f>
        <v>2521.2615000000005</v>
      </c>
      <c r="T42">
        <f t="shared" si="6"/>
        <v>98329.2</v>
      </c>
      <c r="U42">
        <f>IFERROR(VLOOKUP(A42,Overrides!$A:$C,3,FALSE),T42)</f>
        <v>98329.2</v>
      </c>
      <c r="V42" t="str">
        <f t="shared" si="7"/>
        <v/>
      </c>
      <c r="W42" t="str">
        <f t="shared" si="8"/>
        <v>000-2026-11</v>
      </c>
      <c r="X42">
        <f>COUNTIFS(Positions!$A:$A,A42)</f>
        <v>2</v>
      </c>
      <c r="Y42">
        <f>SUM($U$19:U42)</f>
        <v>1918594.79</v>
      </c>
      <c r="Z42" t="str">
        <f>UPPER(TRIM(INDEX('Entity Map'!$E:$E,MATCH(A42,'Entity Map'!$A:$A,0))))</f>
        <v>FIXED INCOME</v>
      </c>
      <c r="AA42">
        <f>SUMIFS(Positions!$F:$F,Positions!$E:$E,Z42)</f>
        <v>2496645976.4000001</v>
      </c>
      <c r="AB42">
        <f t="shared" si="9"/>
        <v>2.1834798315540624E-2</v>
      </c>
      <c r="AC42">
        <f>SUMPRODUCT(Positions!$F$18:$F$185,--(Positions!$A$18:$A$185=A42))</f>
        <v>109027522.72</v>
      </c>
      <c r="AD42" t="str">
        <f t="shared" si="10"/>
        <v>A</v>
      </c>
      <c r="AE42">
        <f>COUNTIF('Entity Map'!$A:$A,A42)</f>
        <v>1</v>
      </c>
      <c r="AF42">
        <f>MAX(Positions!$C:$C)</f>
        <v>46354</v>
      </c>
      <c r="AG42">
        <f t="shared" si="11"/>
        <v>2026</v>
      </c>
      <c r="AH42">
        <f t="shared" si="12"/>
        <v>141735.78</v>
      </c>
      <c r="AI42">
        <f t="shared" si="13"/>
        <v>43406.58</v>
      </c>
      <c r="AJ42">
        <f t="shared" si="14"/>
        <v>42104.382599999997</v>
      </c>
      <c r="AK42" t="str">
        <f t="shared" si="15"/>
        <v>00024 / 42104.38</v>
      </c>
    </row>
    <row r="43" spans="1:37" x14ac:dyDescent="0.35">
      <c r="A43" t="s">
        <v>73</v>
      </c>
      <c r="B43" t="str">
        <f>INDEX('Entity Map'!$B:$B,MATCH(A43,'Entity Map'!$A:$A,0))</f>
        <v>Client 025 Holdings</v>
      </c>
      <c r="C43">
        <f>INDEX('Entity Map'!$F:$F,MATCH(A43,'Entity Map'!$A:$A,0))</f>
        <v>45376</v>
      </c>
      <c r="D43">
        <f t="shared" si="0"/>
        <v>46327</v>
      </c>
      <c r="E43" t="str">
        <f t="shared" si="1"/>
        <v>2026-11</v>
      </c>
      <c r="F43">
        <f>AVERAGEIFS(Positions!$F:$F,Positions!$A:$A,A43)</f>
        <v>28677481.02</v>
      </c>
      <c r="G43">
        <f t="shared" si="16"/>
        <v>54513761.359999999</v>
      </c>
      <c r="H43">
        <f t="shared" si="17"/>
        <v>28677481.02</v>
      </c>
      <c r="I43">
        <f>VLOOKUP(F43,'Fee Schedule'!$D$5:$F$8,3,TRUE)</f>
        <v>22</v>
      </c>
      <c r="J43">
        <f>IFERROR(VLOOKUP(A43,'Fee Schedule'!$A$5:$B$21,2,FALSE),I43)</f>
        <v>22</v>
      </c>
      <c r="K43" t="str">
        <f>INDEX('Entity Map'!$C:$C,MATCH(A43,'Entity Map'!$A:$A,0))</f>
        <v>LuxCo</v>
      </c>
      <c r="L43" t="str">
        <f>INDEX('Entity Map'!$D:$D,MATCH(A43,'Entity Map'!$A:$A,0))</f>
        <v>CC-100</v>
      </c>
      <c r="M43">
        <f t="shared" si="2"/>
        <v>63090.46</v>
      </c>
      <c r="N43">
        <f t="shared" si="3"/>
        <v>30</v>
      </c>
      <c r="O43">
        <f t="shared" si="4"/>
        <v>30</v>
      </c>
      <c r="P43">
        <f t="shared" si="5"/>
        <v>63090.46</v>
      </c>
      <c r="Q43">
        <f>MAX(P43,'Fee Schedule'!$I$3)</f>
        <v>63090.46</v>
      </c>
      <c r="R43">
        <f>MIN(Q43,'Fee Schedule'!$I$4)</f>
        <v>63090.46</v>
      </c>
      <c r="S43">
        <f>IFERROR(R43*'Fee Schedule'!$I$5,0)</f>
        <v>1577.2615000000001</v>
      </c>
      <c r="T43">
        <f t="shared" si="6"/>
        <v>61513.2</v>
      </c>
      <c r="U43">
        <f>IFERROR(VLOOKUP(A43,Overrides!$A:$C,3,FALSE),T43)</f>
        <v>61513.2</v>
      </c>
      <c r="V43" t="str">
        <f t="shared" si="7"/>
        <v/>
      </c>
      <c r="W43" t="str">
        <f t="shared" si="8"/>
        <v>000-2026-11</v>
      </c>
      <c r="X43">
        <f>COUNTIFS(Positions!$A:$A,A43)</f>
        <v>2</v>
      </c>
      <c r="Y43">
        <f>SUM($U$19:U43)</f>
        <v>1980107.99</v>
      </c>
      <c r="Z43" t="str">
        <f>UPPER(TRIM(INDEX('Entity Map'!$E:$E,MATCH(A43,'Entity Map'!$A:$A,0))))</f>
        <v>BALANCED</v>
      </c>
      <c r="AA43">
        <f>SUMIFS(Positions!$F:$F,Positions!$E:$E,Z43)</f>
        <v>2420753390.7000003</v>
      </c>
      <c r="AB43">
        <f t="shared" si="9"/>
        <v>1.1846510730986703E-2</v>
      </c>
      <c r="AC43">
        <f>SUMPRODUCT(Positions!$F$18:$F$185,--(Positions!$A$18:$A$185=A43))</f>
        <v>57354962.039999999</v>
      </c>
      <c r="AD43" t="str">
        <f t="shared" si="10"/>
        <v>A</v>
      </c>
      <c r="AE43">
        <f>COUNTIF('Entity Map'!$A:$A,A43)</f>
        <v>1</v>
      </c>
      <c r="AF43">
        <f>MAX(Positions!$C:$C)</f>
        <v>46354</v>
      </c>
      <c r="AG43">
        <f t="shared" si="11"/>
        <v>2026</v>
      </c>
      <c r="AH43">
        <f t="shared" si="12"/>
        <v>74561.45</v>
      </c>
      <c r="AI43">
        <f t="shared" si="13"/>
        <v>13048.25</v>
      </c>
      <c r="AJ43">
        <f t="shared" si="14"/>
        <v>12656.8025</v>
      </c>
      <c r="AK43" t="str">
        <f t="shared" si="15"/>
        <v>00025 / 12656.80</v>
      </c>
    </row>
    <row r="44" spans="1:37" x14ac:dyDescent="0.35">
      <c r="A44" t="s">
        <v>75</v>
      </c>
      <c r="B44" t="str">
        <f>INDEX('Entity Map'!$B:$B,MATCH(A44,'Entity Map'!$A:$A,0))</f>
        <v>Client 026 Holdings</v>
      </c>
      <c r="C44">
        <f>INDEX('Entity Map'!$F:$F,MATCH(A44,'Entity Map'!$A:$A,0))</f>
        <v>45377</v>
      </c>
      <c r="D44">
        <f t="shared" si="0"/>
        <v>46327</v>
      </c>
      <c r="E44" t="str">
        <f t="shared" si="1"/>
        <v>2026-11</v>
      </c>
      <c r="F44">
        <f>AVERAGEIFS(Positions!$F:$F,Positions!$A:$A,A44)</f>
        <v>69271524.530000001</v>
      </c>
      <c r="G44">
        <f t="shared" si="16"/>
        <v>28677481.02</v>
      </c>
      <c r="H44">
        <f t="shared" si="17"/>
        <v>69271524.530000001</v>
      </c>
      <c r="I44">
        <f>VLOOKUP(F44,'Fee Schedule'!$D$5:$F$8,3,TRUE)</f>
        <v>18.5</v>
      </c>
      <c r="J44" t="str">
        <f>IFERROR(VLOOKUP(A44,'Fee Schedule'!$A$5:$B$21,2,FALSE),I44)</f>
        <v>30.5</v>
      </c>
      <c r="K44" t="str">
        <f>INDEX('Entity Map'!$C:$C,MATCH(A44,'Entity Map'!$A:$A,0))</f>
        <v>UKCo</v>
      </c>
      <c r="L44" t="str">
        <f>INDEX('Entity Map'!$D:$D,MATCH(A44,'Entity Map'!$A:$A,0))</f>
        <v>CC-110</v>
      </c>
      <c r="M44">
        <f t="shared" si="2"/>
        <v>211278.15</v>
      </c>
      <c r="N44">
        <f t="shared" si="3"/>
        <v>30</v>
      </c>
      <c r="O44">
        <f t="shared" si="4"/>
        <v>30</v>
      </c>
      <c r="P44">
        <f t="shared" si="5"/>
        <v>211278.15</v>
      </c>
      <c r="Q44">
        <f>MAX(P44,'Fee Schedule'!$I$3)</f>
        <v>211278.15</v>
      </c>
      <c r="R44">
        <f>MIN(Q44,'Fee Schedule'!$I$4)</f>
        <v>211278.15</v>
      </c>
      <c r="S44">
        <f>IFERROR(R44*'Fee Schedule'!$I$5,0)</f>
        <v>5281.9537500000006</v>
      </c>
      <c r="T44">
        <f t="shared" si="6"/>
        <v>205996.2</v>
      </c>
      <c r="U44">
        <f>IFERROR(VLOOKUP(A44,Overrides!$A:$C,3,FALSE),T44)</f>
        <v>205996.2</v>
      </c>
      <c r="V44" t="str">
        <f t="shared" si="7"/>
        <v/>
      </c>
      <c r="W44" t="str">
        <f t="shared" si="8"/>
        <v>000-2026-11</v>
      </c>
      <c r="X44">
        <f>COUNTIFS(Positions!$A:$A,A44)</f>
        <v>2</v>
      </c>
      <c r="Y44">
        <f>SUM($U$19:U44)</f>
        <v>2186104.19</v>
      </c>
      <c r="Z44" t="str">
        <f>UPPER(TRIM(INDEX('Entity Map'!$E:$E,MATCH(A44,'Entity Map'!$A:$A,0))))</f>
        <v>EQUITY</v>
      </c>
      <c r="AA44">
        <f>SUMIFS(Positions!$F:$F,Positions!$E:$E,Z44)</f>
        <v>2806311623.6099992</v>
      </c>
      <c r="AB44">
        <f t="shared" si="9"/>
        <v>2.4684188294416889E-2</v>
      </c>
      <c r="AC44">
        <f>SUMPRODUCT(Positions!$F$18:$F$185,--(Positions!$A$18:$A$185=A44))</f>
        <v>138543049.06</v>
      </c>
      <c r="AD44" t="str">
        <f t="shared" si="10"/>
        <v>A</v>
      </c>
      <c r="AE44">
        <f>COUNTIF('Entity Map'!$A:$A,A44)</f>
        <v>1</v>
      </c>
      <c r="AF44">
        <f>MAX(Positions!$C:$C)</f>
        <v>46354</v>
      </c>
      <c r="AG44">
        <f t="shared" si="11"/>
        <v>2026</v>
      </c>
      <c r="AH44">
        <f t="shared" si="12"/>
        <v>180105.96</v>
      </c>
      <c r="AI44">
        <f t="shared" si="13"/>
        <v>-25890.24000000002</v>
      </c>
      <c r="AJ44">
        <f t="shared" si="14"/>
        <v>-25113.532800000019</v>
      </c>
      <c r="AK44" t="str">
        <f t="shared" si="15"/>
        <v>00026 / -25113.53</v>
      </c>
    </row>
    <row r="45" spans="1:37" x14ac:dyDescent="0.35">
      <c r="A45" t="s">
        <v>77</v>
      </c>
      <c r="B45" t="str">
        <f>INDEX('Entity Map'!$B:$B,MATCH(A45,'Entity Map'!$A:$A,0))</f>
        <v>Client 027 Holdings</v>
      </c>
      <c r="C45">
        <f>INDEX('Entity Map'!$F:$F,MATCH(A45,'Entity Map'!$A:$A,0))</f>
        <v>45378</v>
      </c>
      <c r="D45">
        <f t="shared" si="0"/>
        <v>46327</v>
      </c>
      <c r="E45" t="str">
        <f t="shared" si="1"/>
        <v>2026-11</v>
      </c>
      <c r="F45">
        <f>AVERAGEIFS(Positions!$F:$F,Positions!$A:$A,A45)</f>
        <v>35213125.774999999</v>
      </c>
      <c r="G45">
        <f t="shared" si="16"/>
        <v>69271524.530000001</v>
      </c>
      <c r="H45">
        <f t="shared" si="17"/>
        <v>35213125.774999999</v>
      </c>
      <c r="I45">
        <f>VLOOKUP(F45,'Fee Schedule'!$D$5:$F$8,3,TRUE)</f>
        <v>22</v>
      </c>
      <c r="J45">
        <f>IFERROR(VLOOKUP(A45,'Fee Schedule'!$A$5:$B$21,2,FALSE),I45)</f>
        <v>22</v>
      </c>
      <c r="K45" t="str">
        <f>INDEX('Entity Map'!$C:$C,MATCH(A45,'Entity Map'!$A:$A,0))</f>
        <v>DubCo</v>
      </c>
      <c r="L45" t="str">
        <f>INDEX('Entity Map'!$D:$D,MATCH(A45,'Entity Map'!$A:$A,0))</f>
        <v>CC-120</v>
      </c>
      <c r="M45">
        <f t="shared" si="2"/>
        <v>77468.88</v>
      </c>
      <c r="N45">
        <f t="shared" si="3"/>
        <v>30</v>
      </c>
      <c r="O45">
        <f t="shared" si="4"/>
        <v>30</v>
      </c>
      <c r="P45">
        <f t="shared" si="5"/>
        <v>77468.88</v>
      </c>
      <c r="Q45">
        <f>MAX(P45,'Fee Schedule'!$I$3)</f>
        <v>77468.88</v>
      </c>
      <c r="R45">
        <f>MIN(Q45,'Fee Schedule'!$I$4)</f>
        <v>77468.88</v>
      </c>
      <c r="S45">
        <f>IFERROR(R45*'Fee Schedule'!$I$5,0)</f>
        <v>1936.7220000000002</v>
      </c>
      <c r="T45">
        <f t="shared" si="6"/>
        <v>75532.160000000003</v>
      </c>
      <c r="U45">
        <f>IFERROR(VLOOKUP(A45,Overrides!$A:$C,3,FALSE),T45)</f>
        <v>75532.160000000003</v>
      </c>
      <c r="V45" t="str">
        <f t="shared" si="7"/>
        <v/>
      </c>
      <c r="W45" t="str">
        <f t="shared" si="8"/>
        <v>000-2026-11</v>
      </c>
      <c r="X45">
        <f>COUNTIFS(Positions!$A:$A,A45)</f>
        <v>2</v>
      </c>
      <c r="Y45">
        <f>SUM($U$19:U45)</f>
        <v>2261636.35</v>
      </c>
      <c r="Z45" t="str">
        <f>UPPER(TRIM(INDEX('Entity Map'!$E:$E,MATCH(A45,'Entity Map'!$A:$A,0))))</f>
        <v>FIXED INCOME</v>
      </c>
      <c r="AA45">
        <f>SUMIFS(Positions!$F:$F,Positions!$E:$E,Z45)</f>
        <v>2496645976.4000001</v>
      </c>
      <c r="AB45">
        <f t="shared" si="9"/>
        <v>1.410417260110503E-2</v>
      </c>
      <c r="AC45">
        <f>SUMPRODUCT(Positions!$F$18:$F$185,--(Positions!$A$18:$A$185=A45))</f>
        <v>70426251.549999997</v>
      </c>
      <c r="AD45" t="str">
        <f t="shared" si="10"/>
        <v>A</v>
      </c>
      <c r="AE45">
        <f>COUNTIF('Entity Map'!$A:$A,A45)</f>
        <v>1</v>
      </c>
      <c r="AF45">
        <f>MAX(Positions!$C:$C)</f>
        <v>46354</v>
      </c>
      <c r="AG45">
        <f t="shared" si="11"/>
        <v>2026</v>
      </c>
      <c r="AH45">
        <f t="shared" si="12"/>
        <v>91554.13</v>
      </c>
      <c r="AI45">
        <f t="shared" si="13"/>
        <v>16021.970000000001</v>
      </c>
      <c r="AJ45">
        <f t="shared" si="14"/>
        <v>15541.3109</v>
      </c>
      <c r="AK45" t="str">
        <f t="shared" si="15"/>
        <v>00027 / 15541.31</v>
      </c>
    </row>
    <row r="46" spans="1:37" x14ac:dyDescent="0.35">
      <c r="A46" t="s">
        <v>79</v>
      </c>
      <c r="B46" t="str">
        <f>INDEX('Entity Map'!$B:$B,MATCH(A46,'Entity Map'!$A:$A,0))</f>
        <v>Client 028 Holdings</v>
      </c>
      <c r="C46">
        <f>INDEX('Entity Map'!$F:$F,MATCH(A46,'Entity Map'!$A:$A,0))</f>
        <v>45352</v>
      </c>
      <c r="D46">
        <f t="shared" si="0"/>
        <v>46327</v>
      </c>
      <c r="E46" t="str">
        <f t="shared" si="1"/>
        <v>2026-11</v>
      </c>
      <c r="F46">
        <f>AVERAGEIFS(Positions!$F:$F,Positions!$A:$A,A46)</f>
        <v>188700</v>
      </c>
      <c r="G46">
        <f t="shared" si="16"/>
        <v>35213125.774999999</v>
      </c>
      <c r="H46">
        <f t="shared" si="17"/>
        <v>188700</v>
      </c>
      <c r="I46">
        <f>VLOOKUP(F46,'Fee Schedule'!$D$5:$F$8,3,TRUE)</f>
        <v>35</v>
      </c>
      <c r="J46">
        <f>IFERROR(VLOOKUP(A46,'Fee Schedule'!$A$5:$B$21,2,FALSE),I46)</f>
        <v>35</v>
      </c>
      <c r="K46" t="str">
        <f>INDEX('Entity Map'!$C:$C,MATCH(A46,'Entity Map'!$A:$A,0))</f>
        <v>LuxCo</v>
      </c>
      <c r="L46" t="str">
        <f>INDEX('Entity Map'!$D:$D,MATCH(A46,'Entity Map'!$A:$A,0))</f>
        <v>CC-130</v>
      </c>
      <c r="M46">
        <f t="shared" si="2"/>
        <v>660.45</v>
      </c>
      <c r="N46">
        <f t="shared" si="3"/>
        <v>30</v>
      </c>
      <c r="O46">
        <f t="shared" si="4"/>
        <v>30</v>
      </c>
      <c r="P46">
        <f t="shared" si="5"/>
        <v>660.45</v>
      </c>
      <c r="Q46">
        <f>MAX(P46,'Fee Schedule'!$I$3)</f>
        <v>750</v>
      </c>
      <c r="R46">
        <f>MIN(Q46,'Fee Schedule'!$I$4)</f>
        <v>750</v>
      </c>
      <c r="S46">
        <f>IFERROR(R46*'Fee Schedule'!$I$5,0)</f>
        <v>18.75</v>
      </c>
      <c r="T46">
        <f t="shared" si="6"/>
        <v>731.25</v>
      </c>
      <c r="U46">
        <f>IFERROR(VLOOKUP(A46,Overrides!$A:$C,3,FALSE),T46)</f>
        <v>731.25</v>
      </c>
      <c r="V46" t="str">
        <f t="shared" si="7"/>
        <v/>
      </c>
      <c r="W46" t="str">
        <f t="shared" si="8"/>
        <v>000-2026-11</v>
      </c>
      <c r="X46">
        <f>COUNTIFS(Positions!$A:$A,A46)</f>
        <v>2</v>
      </c>
      <c r="Y46">
        <f>SUM($U$19:U46)</f>
        <v>2262367.6</v>
      </c>
      <c r="Z46" t="str">
        <f>UPPER(TRIM(INDEX('Entity Map'!$E:$E,MATCH(A46,'Entity Map'!$A:$A,0))))</f>
        <v>BALANCED</v>
      </c>
      <c r="AA46">
        <f>SUMIFS(Positions!$F:$F,Positions!$E:$E,Z46)</f>
        <v>2420753390.7000003</v>
      </c>
      <c r="AB46">
        <f t="shared" si="9"/>
        <v>7.7950939044408121E-5</v>
      </c>
      <c r="AC46">
        <f>SUMPRODUCT(Positions!$F$18:$F$185,--(Positions!$A$18:$A$185=A46))</f>
        <v>377400</v>
      </c>
      <c r="AD46" t="str">
        <f t="shared" si="10"/>
        <v>C</v>
      </c>
      <c r="AE46">
        <f>COUNTIF('Entity Map'!$A:$A,A46)</f>
        <v>1</v>
      </c>
      <c r="AF46">
        <f>MAX(Positions!$C:$C)</f>
        <v>46354</v>
      </c>
      <c r="AG46">
        <f t="shared" si="11"/>
        <v>2026</v>
      </c>
      <c r="AH46">
        <f t="shared" si="12"/>
        <v>490.62</v>
      </c>
      <c r="AI46">
        <f t="shared" si="13"/>
        <v>-240.63</v>
      </c>
      <c r="AJ46">
        <f t="shared" si="14"/>
        <v>-233.41109999999998</v>
      </c>
      <c r="AK46" t="str">
        <f t="shared" si="15"/>
        <v>00028 / -233.41</v>
      </c>
    </row>
    <row r="47" spans="1:37" x14ac:dyDescent="0.35">
      <c r="A47" t="s">
        <v>81</v>
      </c>
      <c r="B47" t="str">
        <f>INDEX('Entity Map'!$B:$B,MATCH(A47,'Entity Map'!$A:$A,0))</f>
        <v>Client 029 Holdings</v>
      </c>
      <c r="C47">
        <f>INDEX('Entity Map'!$F:$F,MATCH(A47,'Entity Map'!$A:$A,0))</f>
        <v>45353</v>
      </c>
      <c r="D47">
        <f t="shared" si="0"/>
        <v>46327</v>
      </c>
      <c r="E47" t="str">
        <f t="shared" si="1"/>
        <v>2026-11</v>
      </c>
      <c r="F47">
        <f>AVERAGEIFS(Positions!$F:$F,Positions!$A:$A,A47)</f>
        <v>76963467.825000003</v>
      </c>
      <c r="G47">
        <f t="shared" si="16"/>
        <v>188700</v>
      </c>
      <c r="H47">
        <f t="shared" si="17"/>
        <v>76963467.825000003</v>
      </c>
      <c r="I47">
        <f>VLOOKUP(F47,'Fee Schedule'!$D$5:$F$8,3,TRUE)</f>
        <v>18.5</v>
      </c>
      <c r="J47">
        <f>IFERROR(VLOOKUP(A47,'Fee Schedule'!$A$5:$B$21,2,FALSE),I47)</f>
        <v>18.5</v>
      </c>
      <c r="K47" t="str">
        <f>INDEX('Entity Map'!$C:$C,MATCH(A47,'Entity Map'!$A:$A,0))</f>
        <v>UKCo</v>
      </c>
      <c r="L47" t="str">
        <f>INDEX('Entity Map'!$D:$D,MATCH(A47,'Entity Map'!$A:$A,0))</f>
        <v>CC-140</v>
      </c>
      <c r="M47">
        <f t="shared" si="2"/>
        <v>142382.42000000001</v>
      </c>
      <c r="N47">
        <f t="shared" si="3"/>
        <v>30</v>
      </c>
      <c r="O47">
        <f t="shared" si="4"/>
        <v>30</v>
      </c>
      <c r="P47">
        <f t="shared" si="5"/>
        <v>142382.42000000001</v>
      </c>
      <c r="Q47">
        <f>MAX(P47,'Fee Schedule'!$I$3)</f>
        <v>142382.42000000001</v>
      </c>
      <c r="R47">
        <f>MIN(Q47,'Fee Schedule'!$I$4)</f>
        <v>142382.42000000001</v>
      </c>
      <c r="S47">
        <f>IFERROR(R47*'Fee Schedule'!$I$5,0)</f>
        <v>3559.5605000000005</v>
      </c>
      <c r="T47">
        <f t="shared" si="6"/>
        <v>138822.85999999999</v>
      </c>
      <c r="U47">
        <f>IFERROR(VLOOKUP(A47,Overrides!$A:$C,3,FALSE),T47)</f>
        <v>138822.85999999999</v>
      </c>
      <c r="V47" t="str">
        <f t="shared" si="7"/>
        <v/>
      </c>
      <c r="W47" t="str">
        <f t="shared" si="8"/>
        <v>000-2026-11</v>
      </c>
      <c r="X47">
        <f>COUNTIFS(Positions!$A:$A,A47)</f>
        <v>2</v>
      </c>
      <c r="Y47">
        <f>SUM($U$19:U47)</f>
        <v>2401190.46</v>
      </c>
      <c r="Z47" t="str">
        <f>UPPER(TRIM(INDEX('Entity Map'!$E:$E,MATCH(A47,'Entity Map'!$A:$A,0))))</f>
        <v>EQUITY</v>
      </c>
      <c r="AA47">
        <f>SUMIFS(Positions!$F:$F,Positions!$E:$E,Z47)</f>
        <v>2806311623.6099992</v>
      </c>
      <c r="AB47">
        <f t="shared" si="9"/>
        <v>2.7425132397091132E-2</v>
      </c>
      <c r="AC47">
        <f>SUMPRODUCT(Positions!$F$18:$F$185,--(Positions!$A$18:$A$185=A47))</f>
        <v>153926935.65000001</v>
      </c>
      <c r="AD47" t="str">
        <f t="shared" si="10"/>
        <v>A</v>
      </c>
      <c r="AE47">
        <f>COUNTIF('Entity Map'!$A:$A,A47)</f>
        <v>1</v>
      </c>
      <c r="AF47">
        <f>MAX(Positions!$C:$C)</f>
        <v>46354</v>
      </c>
      <c r="AG47">
        <f t="shared" si="11"/>
        <v>2026</v>
      </c>
      <c r="AH47">
        <f t="shared" si="12"/>
        <v>200105.02</v>
      </c>
      <c r="AI47">
        <f t="shared" si="13"/>
        <v>61282.16</v>
      </c>
      <c r="AJ47">
        <f t="shared" si="14"/>
        <v>59443.695200000002</v>
      </c>
      <c r="AK47" t="str">
        <f t="shared" si="15"/>
        <v>00029 / 59443.70</v>
      </c>
    </row>
    <row r="48" spans="1:37" x14ac:dyDescent="0.35">
      <c r="A48" t="s">
        <v>83</v>
      </c>
      <c r="B48" t="str">
        <f>INDEX('Entity Map'!$B:$B,MATCH(A48,'Entity Map'!$A:$A,0))</f>
        <v>Client 030 Holdings</v>
      </c>
      <c r="C48">
        <f>INDEX('Entity Map'!$F:$F,MATCH(A48,'Entity Map'!$A:$A,0))</f>
        <v>45354</v>
      </c>
      <c r="D48">
        <f t="shared" si="0"/>
        <v>46327</v>
      </c>
      <c r="E48" t="str">
        <f t="shared" si="1"/>
        <v>2026-11</v>
      </c>
      <c r="F48">
        <f>AVERAGEIFS(Positions!$F:$F,Positions!$A:$A,A48)</f>
        <v>51764180.965000004</v>
      </c>
      <c r="G48">
        <f t="shared" si="16"/>
        <v>76963467.825000003</v>
      </c>
      <c r="H48">
        <f t="shared" si="17"/>
        <v>51764180.965000004</v>
      </c>
      <c r="I48">
        <f>VLOOKUP(F48,'Fee Schedule'!$D$5:$F$8,3,TRUE)</f>
        <v>18.5</v>
      </c>
      <c r="J48">
        <f>IFERROR(VLOOKUP(A48,'Fee Schedule'!$A$5:$B$21,2,FALSE),I48)</f>
        <v>18.5</v>
      </c>
      <c r="K48" t="str">
        <f>INDEX('Entity Map'!$C:$C,MATCH(A48,'Entity Map'!$A:$A,0))</f>
        <v>DubCo</v>
      </c>
      <c r="L48" t="str">
        <f>INDEX('Entity Map'!$D:$D,MATCH(A48,'Entity Map'!$A:$A,0))</f>
        <v>CC-150</v>
      </c>
      <c r="M48">
        <f t="shared" si="2"/>
        <v>95763.73</v>
      </c>
      <c r="N48">
        <f t="shared" si="3"/>
        <v>30</v>
      </c>
      <c r="O48">
        <f t="shared" si="4"/>
        <v>30</v>
      </c>
      <c r="P48">
        <f t="shared" si="5"/>
        <v>95763.73</v>
      </c>
      <c r="Q48">
        <f>MAX(P48,'Fee Schedule'!$I$3)</f>
        <v>95763.73</v>
      </c>
      <c r="R48">
        <f>MIN(Q48,'Fee Schedule'!$I$4)</f>
        <v>95763.73</v>
      </c>
      <c r="S48">
        <f>IFERROR(R48*'Fee Schedule'!$I$5,0)</f>
        <v>2394.0932499999999</v>
      </c>
      <c r="T48">
        <f t="shared" si="6"/>
        <v>93369.64</v>
      </c>
      <c r="U48">
        <f>IFERROR(VLOOKUP(A48,Overrides!$A:$C,3,FALSE),T48)</f>
        <v>93369.64</v>
      </c>
      <c r="V48" t="str">
        <f t="shared" si="7"/>
        <v/>
      </c>
      <c r="W48" t="str">
        <f t="shared" si="8"/>
        <v>000-2026-11</v>
      </c>
      <c r="X48">
        <f>COUNTIFS(Positions!$A:$A,A48)</f>
        <v>2</v>
      </c>
      <c r="Y48">
        <f>SUM($U$19:U48)</f>
        <v>2494560.1</v>
      </c>
      <c r="Z48" t="str">
        <f>UPPER(TRIM(INDEX('Entity Map'!$E:$E,MATCH(A48,'Entity Map'!$A:$A,0))))</f>
        <v>FIXED INCOME</v>
      </c>
      <c r="AA48">
        <f>SUMIFS(Positions!$F:$F,Positions!$E:$E,Z48)</f>
        <v>2496645976.4000001</v>
      </c>
      <c r="AB48">
        <f t="shared" si="9"/>
        <v>2.0733488630070237E-2</v>
      </c>
      <c r="AC48">
        <f>SUMPRODUCT(Positions!$F$18:$F$185,--(Positions!$A$18:$A$185=A48))</f>
        <v>103528361.93000001</v>
      </c>
      <c r="AD48" t="str">
        <f t="shared" si="10"/>
        <v>A</v>
      </c>
      <c r="AE48">
        <f>COUNTIF('Entity Map'!$A:$A,A48)</f>
        <v>1</v>
      </c>
      <c r="AF48">
        <f>MAX(Positions!$C:$C)</f>
        <v>46354</v>
      </c>
      <c r="AG48">
        <f t="shared" si="11"/>
        <v>2026</v>
      </c>
      <c r="AH48">
        <f t="shared" si="12"/>
        <v>134586.87</v>
      </c>
      <c r="AI48">
        <f t="shared" si="13"/>
        <v>41217.229999999996</v>
      </c>
      <c r="AJ48">
        <f t="shared" si="14"/>
        <v>39980.713099999994</v>
      </c>
      <c r="AK48" t="str">
        <f t="shared" si="15"/>
        <v>00030 / 39980.71</v>
      </c>
    </row>
    <row r="49" spans="1:37" x14ac:dyDescent="0.35">
      <c r="A49" t="s">
        <v>85</v>
      </c>
      <c r="B49" t="str">
        <f>INDEX('Entity Map'!$B:$B,MATCH(A49,'Entity Map'!$A:$A,0))</f>
        <v>Client 031 Holdings</v>
      </c>
      <c r="C49">
        <f>INDEX('Entity Map'!$F:$F,MATCH(A49,'Entity Map'!$A:$A,0))</f>
        <v>45355</v>
      </c>
      <c r="D49">
        <f t="shared" si="0"/>
        <v>46327</v>
      </c>
      <c r="E49" t="str">
        <f t="shared" si="1"/>
        <v>2026-11</v>
      </c>
      <c r="F49">
        <f>AVERAGEIFS(Positions!$F:$F,Positions!$A:$A,A49)</f>
        <v>63020175.210000001</v>
      </c>
      <c r="G49">
        <f t="shared" si="16"/>
        <v>51764180.965000004</v>
      </c>
      <c r="H49">
        <f t="shared" si="17"/>
        <v>63020175.210000001</v>
      </c>
      <c r="I49">
        <f>VLOOKUP(F49,'Fee Schedule'!$D$5:$F$8,3,TRUE)</f>
        <v>18.5</v>
      </c>
      <c r="J49" t="str">
        <f>IFERROR(VLOOKUP(A49,'Fee Schedule'!$A$5:$B$21,2,FALSE),I49)</f>
        <v>24.5</v>
      </c>
      <c r="K49" t="str">
        <f>INDEX('Entity Map'!$C:$C,MATCH(A49,'Entity Map'!$A:$A,0))</f>
        <v>LuxCo</v>
      </c>
      <c r="L49" t="str">
        <f>INDEX('Entity Map'!$D:$D,MATCH(A49,'Entity Map'!$A:$A,0))</f>
        <v>CC-100</v>
      </c>
      <c r="M49">
        <f t="shared" si="2"/>
        <v>154399.43</v>
      </c>
      <c r="N49">
        <f t="shared" si="3"/>
        <v>30</v>
      </c>
      <c r="O49">
        <f t="shared" si="4"/>
        <v>30</v>
      </c>
      <c r="P49">
        <f t="shared" si="5"/>
        <v>154399.43</v>
      </c>
      <c r="Q49">
        <f>MAX(P49,'Fee Schedule'!$I$3)</f>
        <v>154399.43</v>
      </c>
      <c r="R49">
        <f>MIN(Q49,'Fee Schedule'!$I$4)</f>
        <v>154399.43</v>
      </c>
      <c r="S49">
        <f>IFERROR(R49*'Fee Schedule'!$I$5,0)</f>
        <v>3859.9857499999998</v>
      </c>
      <c r="T49">
        <f t="shared" si="6"/>
        <v>150539.44</v>
      </c>
      <c r="U49">
        <f>IFERROR(VLOOKUP(A49,Overrides!$A:$C,3,FALSE),T49)</f>
        <v>150539.44</v>
      </c>
      <c r="V49" t="str">
        <f t="shared" si="7"/>
        <v/>
      </c>
      <c r="W49" t="str">
        <f t="shared" si="8"/>
        <v>000-2026-11</v>
      </c>
      <c r="X49">
        <f>COUNTIFS(Positions!$A:$A,A49)</f>
        <v>2</v>
      </c>
      <c r="Y49">
        <f>SUM($U$19:U49)</f>
        <v>2645099.54</v>
      </c>
      <c r="Z49" t="str">
        <f>UPPER(TRIM(INDEX('Entity Map'!$E:$E,MATCH(A49,'Entity Map'!$A:$A,0))))</f>
        <v>BALANCED</v>
      </c>
      <c r="AA49">
        <f>SUMIFS(Positions!$F:$F,Positions!$E:$E,Z49)</f>
        <v>2420753390.7000003</v>
      </c>
      <c r="AB49">
        <f t="shared" si="9"/>
        <v>2.603329007081415E-2</v>
      </c>
      <c r="AC49">
        <f>SUMPRODUCT(Positions!$F$18:$F$185,--(Positions!$A$18:$A$185=A49))</f>
        <v>126040350.42</v>
      </c>
      <c r="AD49" t="str">
        <f t="shared" si="10"/>
        <v>A</v>
      </c>
      <c r="AE49">
        <f>COUNTIF('Entity Map'!$A:$A,A49)</f>
        <v>1</v>
      </c>
      <c r="AF49">
        <f>MAX(Positions!$C:$C)</f>
        <v>46354</v>
      </c>
      <c r="AG49">
        <f t="shared" si="11"/>
        <v>2026</v>
      </c>
      <c r="AH49">
        <f t="shared" si="12"/>
        <v>163852.46</v>
      </c>
      <c r="AI49">
        <f t="shared" si="13"/>
        <v>13313.01999999999</v>
      </c>
      <c r="AJ49">
        <f t="shared" si="14"/>
        <v>12913.629399999989</v>
      </c>
      <c r="AK49" t="str">
        <f t="shared" si="15"/>
        <v>00031 / 12913.63</v>
      </c>
    </row>
    <row r="50" spans="1:37" x14ac:dyDescent="0.35">
      <c r="A50" t="s">
        <v>87</v>
      </c>
      <c r="B50" t="str">
        <f>INDEX('Entity Map'!$B:$B,MATCH(A50,'Entity Map'!$A:$A,0))</f>
        <v>Client 032 Holdings</v>
      </c>
      <c r="C50">
        <f>INDEX('Entity Map'!$F:$F,MATCH(A50,'Entity Map'!$A:$A,0))</f>
        <v>45356</v>
      </c>
      <c r="D50">
        <f t="shared" si="0"/>
        <v>46327</v>
      </c>
      <c r="E50" t="str">
        <f t="shared" si="1"/>
        <v>2026-11</v>
      </c>
      <c r="F50">
        <f>AVERAGEIFS(Positions!$F:$F,Positions!$A:$A,A50)</f>
        <v>50842852.630000003</v>
      </c>
      <c r="G50">
        <f t="shared" si="16"/>
        <v>63020175.210000001</v>
      </c>
      <c r="H50">
        <f t="shared" si="17"/>
        <v>50842852.630000003</v>
      </c>
      <c r="I50">
        <f>VLOOKUP(F50,'Fee Schedule'!$D$5:$F$8,3,TRUE)</f>
        <v>18.5</v>
      </c>
      <c r="J50">
        <f>IFERROR(VLOOKUP(A50,'Fee Schedule'!$A$5:$B$21,2,FALSE),I50)</f>
        <v>18.5</v>
      </c>
      <c r="K50" t="str">
        <f>INDEX('Entity Map'!$C:$C,MATCH(A50,'Entity Map'!$A:$A,0))</f>
        <v>UKCo</v>
      </c>
      <c r="L50" t="str">
        <f>INDEX('Entity Map'!$D:$D,MATCH(A50,'Entity Map'!$A:$A,0))</f>
        <v>CC-110</v>
      </c>
      <c r="M50">
        <f t="shared" si="2"/>
        <v>94059.28</v>
      </c>
      <c r="N50">
        <f t="shared" si="3"/>
        <v>30</v>
      </c>
      <c r="O50">
        <f t="shared" si="4"/>
        <v>30</v>
      </c>
      <c r="P50">
        <f t="shared" si="5"/>
        <v>94059.28</v>
      </c>
      <c r="Q50">
        <f>MAX(P50,'Fee Schedule'!$I$3)</f>
        <v>94059.28</v>
      </c>
      <c r="R50">
        <f>MIN(Q50,'Fee Schedule'!$I$4)</f>
        <v>94059.28</v>
      </c>
      <c r="S50">
        <f>IFERROR(R50*'Fee Schedule'!$I$5,0)</f>
        <v>2351.482</v>
      </c>
      <c r="T50">
        <f t="shared" si="6"/>
        <v>91707.8</v>
      </c>
      <c r="U50">
        <f>IFERROR(VLOOKUP(A50,Overrides!$A:$C,3,FALSE),T50)</f>
        <v>91707.8</v>
      </c>
      <c r="V50" t="str">
        <f t="shared" si="7"/>
        <v/>
      </c>
      <c r="W50" t="str">
        <f t="shared" si="8"/>
        <v>000-2026-11</v>
      </c>
      <c r="X50">
        <f>COUNTIFS(Positions!$A:$A,A50)</f>
        <v>2</v>
      </c>
      <c r="Y50">
        <f>SUM($U$19:U50)</f>
        <v>2736807.34</v>
      </c>
      <c r="Z50" t="str">
        <f>UPPER(TRIM(INDEX('Entity Map'!$E:$E,MATCH(A50,'Entity Map'!$A:$A,0))))</f>
        <v>EQUITY</v>
      </c>
      <c r="AA50">
        <f>SUMIFS(Positions!$F:$F,Positions!$E:$E,Z50)</f>
        <v>2806311623.6099992</v>
      </c>
      <c r="AB50">
        <f t="shared" si="9"/>
        <v>1.8117322467772302E-2</v>
      </c>
      <c r="AC50">
        <f>SUMPRODUCT(Positions!$F$18:$F$185,--(Positions!$A$18:$A$185=A50))</f>
        <v>101685705.26000001</v>
      </c>
      <c r="AD50" t="str">
        <f t="shared" si="10"/>
        <v>A</v>
      </c>
      <c r="AE50">
        <f>COUNTIF('Entity Map'!$A:$A,A50)</f>
        <v>1</v>
      </c>
      <c r="AF50">
        <f>MAX(Positions!$C:$C)</f>
        <v>46354</v>
      </c>
      <c r="AG50">
        <f t="shared" si="11"/>
        <v>2026</v>
      </c>
      <c r="AH50">
        <f t="shared" si="12"/>
        <v>132191.42000000001</v>
      </c>
      <c r="AI50">
        <f t="shared" si="13"/>
        <v>40483.62000000001</v>
      </c>
      <c r="AJ50">
        <f t="shared" si="14"/>
        <v>39269.111400000009</v>
      </c>
      <c r="AK50" t="str">
        <f t="shared" si="15"/>
        <v>00032 / 39269.11</v>
      </c>
    </row>
    <row r="51" spans="1:37" x14ac:dyDescent="0.35">
      <c r="A51" t="s">
        <v>89</v>
      </c>
      <c r="B51" t="str">
        <f>INDEX('Entity Map'!$B:$B,MATCH(A51,'Entity Map'!$A:$A,0))</f>
        <v>Client 033 Holdings</v>
      </c>
      <c r="C51">
        <f>INDEX('Entity Map'!$F:$F,MATCH(A51,'Entity Map'!$A:$A,0))</f>
        <v>45357</v>
      </c>
      <c r="D51">
        <f t="shared" ref="D51:D82" si="18">MAX(DATE(2026,11,1),C51)</f>
        <v>46327</v>
      </c>
      <c r="E51" t="str">
        <f t="shared" ref="E51:E82" si="19">TEXT(D51,"yyyy-mm")</f>
        <v>2026-11</v>
      </c>
      <c r="F51">
        <f>AVERAGEIFS(Positions!$F:$F,Positions!$A:$A,A51)</f>
        <v>67985732.020000011</v>
      </c>
      <c r="G51">
        <f t="shared" si="16"/>
        <v>50842852.630000003</v>
      </c>
      <c r="H51">
        <f t="shared" si="17"/>
        <v>67985732.020000011</v>
      </c>
      <c r="I51">
        <f>VLOOKUP(F51,'Fee Schedule'!$D$5:$F$8,3,TRUE)</f>
        <v>18.5</v>
      </c>
      <c r="J51">
        <f>IFERROR(VLOOKUP(A51,'Fee Schedule'!$A$5:$B$21,2,FALSE),I51)</f>
        <v>18.5</v>
      </c>
      <c r="K51" t="str">
        <f>INDEX('Entity Map'!$C:$C,MATCH(A51,'Entity Map'!$A:$A,0))</f>
        <v>DubCo</v>
      </c>
      <c r="L51" t="str">
        <f>INDEX('Entity Map'!$D:$D,MATCH(A51,'Entity Map'!$A:$A,0))</f>
        <v>CC-120</v>
      </c>
      <c r="M51">
        <f t="shared" ref="M51:M82" si="20">ROUND(F51*J51/10000,2)</f>
        <v>125773.6</v>
      </c>
      <c r="N51">
        <f t="shared" ref="N51:N82" si="21">DAY(EOMONTH(D51,0))</f>
        <v>30</v>
      </c>
      <c r="O51">
        <f t="shared" ref="O51:O82" si="22">DATEDIF(D51,EOMONTH(D51,0),"d")+1</f>
        <v>30</v>
      </c>
      <c r="P51">
        <f t="shared" ref="P51:P82" si="23">ROUND(M51*O51/N51,2)</f>
        <v>125773.6</v>
      </c>
      <c r="Q51">
        <f>MAX(P51,'Fee Schedule'!$I$3)</f>
        <v>125773.6</v>
      </c>
      <c r="R51">
        <f>MIN(Q51,'Fee Schedule'!$I$4)</f>
        <v>125773.6</v>
      </c>
      <c r="S51">
        <f>IFERROR(R51*'Fee Schedule'!$I$5,0)</f>
        <v>3144.34</v>
      </c>
      <c r="T51">
        <f t="shared" ref="T51:T82" si="24">ROUND(R51-S51,2)</f>
        <v>122629.26</v>
      </c>
      <c r="U51">
        <f>IFERROR(VLOOKUP(A51,Overrides!$A:$C,3,FALSE),T51)</f>
        <v>122629.26</v>
      </c>
      <c r="V51" t="str">
        <f t="shared" ref="V51:V82" si="25">IF(U51=T51,"","OVERRIDE")</f>
        <v/>
      </c>
      <c r="W51" t="str">
        <f t="shared" ref="W51:W82" si="26">LEFT(A51,3)&amp;"-"&amp;E51</f>
        <v>000-2026-11</v>
      </c>
      <c r="X51">
        <f>COUNTIFS(Positions!$A:$A,A51)</f>
        <v>2</v>
      </c>
      <c r="Y51">
        <f>SUM($U$19:U51)</f>
        <v>2859436.6</v>
      </c>
      <c r="Z51" t="str">
        <f>UPPER(TRIM(INDEX('Entity Map'!$E:$E,MATCH(A51,'Entity Map'!$A:$A,0))))</f>
        <v>FIXED INCOME</v>
      </c>
      <c r="AA51">
        <f>SUMIFS(Positions!$F:$F,Positions!$E:$E,Z51)</f>
        <v>2496645976.4000001</v>
      </c>
      <c r="AB51">
        <f t="shared" ref="AB51:AB82" si="27">IFERROR(F51/AA51,0)</f>
        <v>2.7230825941141637E-2</v>
      </c>
      <c r="AC51">
        <f>SUMPRODUCT(Positions!$F$18:$F$185,--(Positions!$A$18:$A$185=A51))</f>
        <v>135971464.04000002</v>
      </c>
      <c r="AD51" t="str">
        <f t="shared" ref="AD51:AD82" si="28">IF(U51&gt;40000,"A",IF(U51&gt;8000,"B","C"))</f>
        <v>A</v>
      </c>
      <c r="AE51">
        <f>COUNTIF('Entity Map'!$A:$A,A51)</f>
        <v>1</v>
      </c>
      <c r="AF51">
        <f>MAX(Positions!$C:$C)</f>
        <v>46354</v>
      </c>
      <c r="AG51">
        <f t="shared" ref="AG51:AG82" si="29">YEAR(D51)</f>
        <v>2026</v>
      </c>
      <c r="AH51">
        <f t="shared" ref="AH51:AH82" si="30">ROUND(F51*$B$14/10000,2)</f>
        <v>176762.9</v>
      </c>
      <c r="AI51">
        <f t="shared" ref="AI51:AI82" si="31">AH51-T51</f>
        <v>54133.64</v>
      </c>
      <c r="AJ51">
        <f t="shared" ref="AJ51:AJ82" si="32">AI51*$B$15</f>
        <v>52509.630799999999</v>
      </c>
      <c r="AK51" t="str">
        <f t="shared" ref="AK51:AK82" si="33">CONCATENATE(A51," / ",TEXT(AJ51,"0.00"))</f>
        <v>00033 / 52509.63</v>
      </c>
    </row>
    <row r="52" spans="1:37" x14ac:dyDescent="0.35">
      <c r="A52" t="s">
        <v>91</v>
      </c>
      <c r="B52" t="str">
        <f>INDEX('Entity Map'!$B:$B,MATCH(A52,'Entity Map'!$A:$A,0))</f>
        <v>Client 034 Holdings</v>
      </c>
      <c r="C52">
        <f>INDEX('Entity Map'!$F:$F,MATCH(A52,'Entity Map'!$A:$A,0))</f>
        <v>46346</v>
      </c>
      <c r="D52">
        <f t="shared" si="18"/>
        <v>46346</v>
      </c>
      <c r="E52" t="str">
        <f t="shared" si="19"/>
        <v>2026-11</v>
      </c>
      <c r="F52">
        <f>AVERAGEIFS(Positions!$F:$F,Positions!$A:$A,A52)</f>
        <v>58666083.659999996</v>
      </c>
      <c r="G52">
        <f t="shared" ref="G52:G83" si="34">F51</f>
        <v>67985732.020000011</v>
      </c>
      <c r="H52">
        <f t="shared" ref="H52:H83" si="35">IF(A52=A51,G52,F52)</f>
        <v>58666083.659999996</v>
      </c>
      <c r="I52">
        <f>VLOOKUP(F52,'Fee Schedule'!$D$5:$F$8,3,TRUE)</f>
        <v>18.5</v>
      </c>
      <c r="J52">
        <f>IFERROR(VLOOKUP(A52,'Fee Schedule'!$A$5:$B$21,2,FALSE),I52)</f>
        <v>18.5</v>
      </c>
      <c r="K52" t="str">
        <f>INDEX('Entity Map'!$C:$C,MATCH(A52,'Entity Map'!$A:$A,0))</f>
        <v>LuxCo</v>
      </c>
      <c r="L52" t="str">
        <f>INDEX('Entity Map'!$D:$D,MATCH(A52,'Entity Map'!$A:$A,0))</f>
        <v>CC-130</v>
      </c>
      <c r="M52">
        <f t="shared" si="20"/>
        <v>108532.25</v>
      </c>
      <c r="N52">
        <f t="shared" si="21"/>
        <v>30</v>
      </c>
      <c r="O52">
        <f t="shared" si="22"/>
        <v>11</v>
      </c>
      <c r="P52">
        <f t="shared" si="23"/>
        <v>39795.160000000003</v>
      </c>
      <c r="Q52">
        <f>MAX(P52,'Fee Schedule'!$I$3)</f>
        <v>39795.160000000003</v>
      </c>
      <c r="R52">
        <f>MIN(Q52,'Fee Schedule'!$I$4)</f>
        <v>39795.160000000003</v>
      </c>
      <c r="S52">
        <f>IFERROR(R52*'Fee Schedule'!$I$5,0)</f>
        <v>994.87900000000013</v>
      </c>
      <c r="T52">
        <f t="shared" si="24"/>
        <v>38800.28</v>
      </c>
      <c r="U52">
        <f>IFERROR(VLOOKUP(A52,Overrides!$A:$C,3,FALSE),T52)</f>
        <v>38800.28</v>
      </c>
      <c r="V52" t="str">
        <f t="shared" si="25"/>
        <v/>
      </c>
      <c r="W52" t="str">
        <f t="shared" si="26"/>
        <v>000-2026-11</v>
      </c>
      <c r="X52">
        <f>COUNTIFS(Positions!$A:$A,A52)</f>
        <v>2</v>
      </c>
      <c r="Y52">
        <f>SUM($U$19:U52)</f>
        <v>2898236.88</v>
      </c>
      <c r="Z52" t="str">
        <f>UPPER(TRIM(INDEX('Entity Map'!$E:$E,MATCH(A52,'Entity Map'!$A:$A,0))))</f>
        <v>BALANCED</v>
      </c>
      <c r="AA52">
        <f>SUMIFS(Positions!$F:$F,Positions!$E:$E,Z52)</f>
        <v>2420753390.7000003</v>
      </c>
      <c r="AB52">
        <f t="shared" si="27"/>
        <v>2.4234638639930084E-2</v>
      </c>
      <c r="AC52">
        <f>SUMPRODUCT(Positions!$F$18:$F$185,--(Positions!$A$18:$A$185=A52))</f>
        <v>117332167.31999999</v>
      </c>
      <c r="AD52" t="str">
        <f t="shared" si="28"/>
        <v>B</v>
      </c>
      <c r="AE52">
        <f>COUNTIF('Entity Map'!$A:$A,A52)</f>
        <v>1</v>
      </c>
      <c r="AF52">
        <f>MAX(Positions!$C:$C)</f>
        <v>46354</v>
      </c>
      <c r="AG52">
        <f t="shared" si="29"/>
        <v>2026</v>
      </c>
      <c r="AH52">
        <f t="shared" si="30"/>
        <v>152531.82</v>
      </c>
      <c r="AI52">
        <f t="shared" si="31"/>
        <v>113731.54000000001</v>
      </c>
      <c r="AJ52">
        <f t="shared" si="32"/>
        <v>110319.5938</v>
      </c>
      <c r="AK52" t="str">
        <f t="shared" si="33"/>
        <v>00034 / 110319.59</v>
      </c>
    </row>
    <row r="53" spans="1:37" x14ac:dyDescent="0.35">
      <c r="A53" t="s">
        <v>93</v>
      </c>
      <c r="B53" t="str">
        <f>INDEX('Entity Map'!$B:$B,MATCH(A53,'Entity Map'!$A:$A,0))</f>
        <v>Client 035 Holdings</v>
      </c>
      <c r="C53">
        <f>INDEX('Entity Map'!$F:$F,MATCH(A53,'Entity Map'!$A:$A,0))</f>
        <v>45359</v>
      </c>
      <c r="D53">
        <f t="shared" si="18"/>
        <v>46327</v>
      </c>
      <c r="E53" t="str">
        <f t="shared" si="19"/>
        <v>2026-11</v>
      </c>
      <c r="F53">
        <f>AVERAGEIFS(Positions!$F:$F,Positions!$A:$A,A53)</f>
        <v>73387896.829999998</v>
      </c>
      <c r="G53">
        <f t="shared" si="34"/>
        <v>58666083.659999996</v>
      </c>
      <c r="H53">
        <f t="shared" si="35"/>
        <v>73387896.829999998</v>
      </c>
      <c r="I53">
        <f>VLOOKUP(F53,'Fee Schedule'!$D$5:$F$8,3,TRUE)</f>
        <v>18.5</v>
      </c>
      <c r="J53">
        <f>IFERROR(VLOOKUP(A53,'Fee Schedule'!$A$5:$B$21,2,FALSE),I53)</f>
        <v>18.5</v>
      </c>
      <c r="K53" t="str">
        <f>INDEX('Entity Map'!$C:$C,MATCH(A53,'Entity Map'!$A:$A,0))</f>
        <v>UKCo</v>
      </c>
      <c r="L53" t="str">
        <f>INDEX('Entity Map'!$D:$D,MATCH(A53,'Entity Map'!$A:$A,0))</f>
        <v>CC-140</v>
      </c>
      <c r="M53">
        <f t="shared" si="20"/>
        <v>135767.60999999999</v>
      </c>
      <c r="N53">
        <f t="shared" si="21"/>
        <v>30</v>
      </c>
      <c r="O53">
        <f t="shared" si="22"/>
        <v>30</v>
      </c>
      <c r="P53">
        <f t="shared" si="23"/>
        <v>135767.60999999999</v>
      </c>
      <c r="Q53">
        <f>MAX(P53,'Fee Schedule'!$I$3)</f>
        <v>135767.60999999999</v>
      </c>
      <c r="R53">
        <f>MIN(Q53,'Fee Schedule'!$I$4)</f>
        <v>135767.60999999999</v>
      </c>
      <c r="S53">
        <f>IFERROR(R53*'Fee Schedule'!$I$5,0)</f>
        <v>3394.1902499999997</v>
      </c>
      <c r="T53">
        <f t="shared" si="24"/>
        <v>132373.42000000001</v>
      </c>
      <c r="U53">
        <f>IFERROR(VLOOKUP(A53,Overrides!$A:$C,3,FALSE),T53)</f>
        <v>132373.42000000001</v>
      </c>
      <c r="V53" t="str">
        <f t="shared" si="25"/>
        <v/>
      </c>
      <c r="W53" t="str">
        <f t="shared" si="26"/>
        <v>000-2026-11</v>
      </c>
      <c r="X53">
        <f>COUNTIFS(Positions!$A:$A,A53)</f>
        <v>2</v>
      </c>
      <c r="Y53">
        <f>SUM($U$19:U53)</f>
        <v>3030610.3</v>
      </c>
      <c r="Z53" t="str">
        <f>UPPER(TRIM(INDEX('Entity Map'!$E:$E,MATCH(A53,'Entity Map'!$A:$A,0))))</f>
        <v>EQUITY</v>
      </c>
      <c r="AA53">
        <f>SUMIFS(Positions!$F:$F,Positions!$E:$E,Z53)</f>
        <v>2806311623.6099992</v>
      </c>
      <c r="AB53">
        <f t="shared" si="27"/>
        <v>2.6151014809821745E-2</v>
      </c>
      <c r="AC53">
        <f>SUMPRODUCT(Positions!$F$18:$F$185,--(Positions!$A$18:$A$185=A53))</f>
        <v>146775793.66</v>
      </c>
      <c r="AD53" t="str">
        <f t="shared" si="28"/>
        <v>A</v>
      </c>
      <c r="AE53">
        <f>COUNTIF('Entity Map'!$A:$A,A53)</f>
        <v>1</v>
      </c>
      <c r="AF53">
        <f>MAX(Positions!$C:$C)</f>
        <v>46354</v>
      </c>
      <c r="AG53">
        <f t="shared" si="29"/>
        <v>2026</v>
      </c>
      <c r="AH53">
        <f t="shared" si="30"/>
        <v>190808.53</v>
      </c>
      <c r="AI53">
        <f t="shared" si="31"/>
        <v>58435.109999999986</v>
      </c>
      <c r="AJ53">
        <f t="shared" si="32"/>
        <v>56682.056699999986</v>
      </c>
      <c r="AK53" t="str">
        <f t="shared" si="33"/>
        <v>00035 / 56682.06</v>
      </c>
    </row>
    <row r="54" spans="1:37" x14ac:dyDescent="0.35">
      <c r="A54" t="s">
        <v>95</v>
      </c>
      <c r="B54" t="str">
        <f>INDEX('Entity Map'!$B:$B,MATCH(A54,'Entity Map'!$A:$A,0))</f>
        <v>Client 036 Holdings</v>
      </c>
      <c r="C54">
        <f>INDEX('Entity Map'!$F:$F,MATCH(A54,'Entity Map'!$A:$A,0))</f>
        <v>45360</v>
      </c>
      <c r="D54">
        <f t="shared" si="18"/>
        <v>46327</v>
      </c>
      <c r="E54" t="str">
        <f t="shared" si="19"/>
        <v>2026-11</v>
      </c>
      <c r="F54">
        <f>AVERAGEIFS(Positions!$F:$F,Positions!$A:$A,A54)</f>
        <v>44861896.100000001</v>
      </c>
      <c r="G54">
        <f t="shared" si="34"/>
        <v>73387896.829999998</v>
      </c>
      <c r="H54">
        <f t="shared" si="35"/>
        <v>44861896.100000001</v>
      </c>
      <c r="I54">
        <f>VLOOKUP(F54,'Fee Schedule'!$D$5:$F$8,3,TRUE)</f>
        <v>22</v>
      </c>
      <c r="J54" t="str">
        <f>IFERROR(VLOOKUP(A54,'Fee Schedule'!$A$5:$B$21,2,FALSE),I54)</f>
        <v>32.0</v>
      </c>
      <c r="K54" t="str">
        <f>INDEX('Entity Map'!$C:$C,MATCH(A54,'Entity Map'!$A:$A,0))</f>
        <v>DubCo</v>
      </c>
      <c r="L54" t="str">
        <f>INDEX('Entity Map'!$D:$D,MATCH(A54,'Entity Map'!$A:$A,0))</f>
        <v>CC-150</v>
      </c>
      <c r="M54">
        <f t="shared" si="20"/>
        <v>143558.07</v>
      </c>
      <c r="N54">
        <f t="shared" si="21"/>
        <v>30</v>
      </c>
      <c r="O54">
        <f t="shared" si="22"/>
        <v>30</v>
      </c>
      <c r="P54">
        <f t="shared" si="23"/>
        <v>143558.07</v>
      </c>
      <c r="Q54">
        <f>MAX(P54,'Fee Schedule'!$I$3)</f>
        <v>143558.07</v>
      </c>
      <c r="R54">
        <f>MIN(Q54,'Fee Schedule'!$I$4)</f>
        <v>143558.07</v>
      </c>
      <c r="S54">
        <f>IFERROR(R54*'Fee Schedule'!$I$5,0)</f>
        <v>3588.9517500000002</v>
      </c>
      <c r="T54">
        <f t="shared" si="24"/>
        <v>139969.12</v>
      </c>
      <c r="U54">
        <f>IFERROR(VLOOKUP(A54,Overrides!$A:$C,3,FALSE),T54)</f>
        <v>139969.12</v>
      </c>
      <c r="V54" t="str">
        <f t="shared" si="25"/>
        <v/>
      </c>
      <c r="W54" t="str">
        <f t="shared" si="26"/>
        <v>000-2026-11</v>
      </c>
      <c r="X54">
        <f>COUNTIFS(Positions!$A:$A,A54)</f>
        <v>2</v>
      </c>
      <c r="Y54">
        <f>SUM($U$19:U54)</f>
        <v>3170579.42</v>
      </c>
      <c r="Z54" t="str">
        <f>UPPER(TRIM(INDEX('Entity Map'!$E:$E,MATCH(A54,'Entity Map'!$A:$A,0))))</f>
        <v>FIXED INCOME</v>
      </c>
      <c r="AA54">
        <f>SUMIFS(Positions!$F:$F,Positions!$E:$E,Z54)</f>
        <v>2496645976.4000001</v>
      </c>
      <c r="AB54">
        <f t="shared" si="27"/>
        <v>1.7968865639768405E-2</v>
      </c>
      <c r="AC54">
        <f>SUMPRODUCT(Positions!$F$18:$F$185,--(Positions!$A$18:$A$185=A54))</f>
        <v>89723792.200000003</v>
      </c>
      <c r="AD54" t="str">
        <f t="shared" si="28"/>
        <v>A</v>
      </c>
      <c r="AE54">
        <f>COUNTIF('Entity Map'!$A:$A,A54)</f>
        <v>1</v>
      </c>
      <c r="AF54">
        <f>MAX(Positions!$C:$C)</f>
        <v>46354</v>
      </c>
      <c r="AG54">
        <f t="shared" si="29"/>
        <v>2026</v>
      </c>
      <c r="AH54">
        <f t="shared" si="30"/>
        <v>116640.93</v>
      </c>
      <c r="AI54">
        <f t="shared" si="31"/>
        <v>-23328.190000000002</v>
      </c>
      <c r="AJ54">
        <f t="shared" si="32"/>
        <v>-22628.344300000001</v>
      </c>
      <c r="AK54" t="str">
        <f t="shared" si="33"/>
        <v>00036 / -22628.34</v>
      </c>
    </row>
    <row r="55" spans="1:37" x14ac:dyDescent="0.35">
      <c r="A55" t="s">
        <v>97</v>
      </c>
      <c r="B55" t="str">
        <f>INDEX('Entity Map'!$B:$B,MATCH(A55,'Entity Map'!$A:$A,0))</f>
        <v>Client 037 Holdings</v>
      </c>
      <c r="C55">
        <f>INDEX('Entity Map'!$F:$F,MATCH(A55,'Entity Map'!$A:$A,0))</f>
        <v>45361</v>
      </c>
      <c r="D55">
        <f t="shared" si="18"/>
        <v>46327</v>
      </c>
      <c r="E55" t="str">
        <f t="shared" si="19"/>
        <v>2026-11</v>
      </c>
      <c r="F55">
        <f>AVERAGEIFS(Positions!$F:$F,Positions!$A:$A,A55)</f>
        <v>14422000.375</v>
      </c>
      <c r="G55">
        <f t="shared" si="34"/>
        <v>44861896.100000001</v>
      </c>
      <c r="H55">
        <f t="shared" si="35"/>
        <v>14422000.375</v>
      </c>
      <c r="I55">
        <f>VLOOKUP(F55,'Fee Schedule'!$D$5:$F$8,3,TRUE)</f>
        <v>27.5</v>
      </c>
      <c r="J55">
        <f>IFERROR(VLOOKUP(A55,'Fee Schedule'!$A$5:$B$21,2,FALSE),I55)</f>
        <v>27.5</v>
      </c>
      <c r="K55" t="str">
        <f>INDEX('Entity Map'!$C:$C,MATCH(A55,'Entity Map'!$A:$A,0))</f>
        <v>LuxCo</v>
      </c>
      <c r="L55" t="str">
        <f>INDEX('Entity Map'!$D:$D,MATCH(A55,'Entity Map'!$A:$A,0))</f>
        <v>CC-100</v>
      </c>
      <c r="M55">
        <f t="shared" si="20"/>
        <v>39660.5</v>
      </c>
      <c r="N55">
        <f t="shared" si="21"/>
        <v>30</v>
      </c>
      <c r="O55">
        <f t="shared" si="22"/>
        <v>30</v>
      </c>
      <c r="P55">
        <f t="shared" si="23"/>
        <v>39660.5</v>
      </c>
      <c r="Q55">
        <f>MAX(P55,'Fee Schedule'!$I$3)</f>
        <v>39660.5</v>
      </c>
      <c r="R55">
        <f>MIN(Q55,'Fee Schedule'!$I$4)</f>
        <v>39660.5</v>
      </c>
      <c r="S55">
        <f>IFERROR(R55*'Fee Schedule'!$I$5,0)</f>
        <v>991.51250000000005</v>
      </c>
      <c r="T55">
        <f t="shared" si="24"/>
        <v>38668.99</v>
      </c>
      <c r="U55">
        <f>IFERROR(VLOOKUP(A55,Overrides!$A:$C,3,FALSE),T55)</f>
        <v>38668.99</v>
      </c>
      <c r="V55" t="str">
        <f t="shared" si="25"/>
        <v/>
      </c>
      <c r="W55" t="str">
        <f t="shared" si="26"/>
        <v>000-2026-11</v>
      </c>
      <c r="X55">
        <f>COUNTIFS(Positions!$A:$A,A55)</f>
        <v>2</v>
      </c>
      <c r="Y55">
        <f>SUM($U$19:U55)</f>
        <v>3209248.41</v>
      </c>
      <c r="Z55" t="str">
        <f>UPPER(TRIM(INDEX('Entity Map'!$E:$E,MATCH(A55,'Entity Map'!$A:$A,0))))</f>
        <v>BALANCED</v>
      </c>
      <c r="AA55">
        <f>SUMIFS(Positions!$F:$F,Positions!$E:$E,Z55)</f>
        <v>2420753390.7000003</v>
      </c>
      <c r="AB55">
        <f t="shared" si="27"/>
        <v>5.9576495608376053E-3</v>
      </c>
      <c r="AC55">
        <f>SUMPRODUCT(Positions!$F$18:$F$185,--(Positions!$A$18:$A$185=A55))</f>
        <v>28844000.75</v>
      </c>
      <c r="AD55" t="str">
        <f t="shared" si="28"/>
        <v>B</v>
      </c>
      <c r="AE55">
        <f>COUNTIF('Entity Map'!$A:$A,A55)</f>
        <v>1</v>
      </c>
      <c r="AF55">
        <f>MAX(Positions!$C:$C)</f>
        <v>46354</v>
      </c>
      <c r="AG55">
        <f t="shared" si="29"/>
        <v>2026</v>
      </c>
      <c r="AH55">
        <f t="shared" si="30"/>
        <v>37497.199999999997</v>
      </c>
      <c r="AI55">
        <f t="shared" si="31"/>
        <v>-1171.7900000000009</v>
      </c>
      <c r="AJ55">
        <f t="shared" si="32"/>
        <v>-1136.6363000000008</v>
      </c>
      <c r="AK55" t="str">
        <f t="shared" si="33"/>
        <v>00037 / -1136.64</v>
      </c>
    </row>
    <row r="56" spans="1:37" x14ac:dyDescent="0.35">
      <c r="A56" t="s">
        <v>99</v>
      </c>
      <c r="B56" t="str">
        <f>INDEX('Entity Map'!$B:$B,MATCH(A56,'Entity Map'!$A:$A,0))</f>
        <v>Client 038 Holdings</v>
      </c>
      <c r="C56">
        <f>INDEX('Entity Map'!$F:$F,MATCH(A56,'Entity Map'!$A:$A,0))</f>
        <v>45362</v>
      </c>
      <c r="D56">
        <f t="shared" si="18"/>
        <v>46327</v>
      </c>
      <c r="E56" t="str">
        <f t="shared" si="19"/>
        <v>2026-11</v>
      </c>
      <c r="F56">
        <f>AVERAGEIFS(Positions!$F:$F,Positions!$A:$A,A56)</f>
        <v>54538484.484999999</v>
      </c>
      <c r="G56">
        <f t="shared" si="34"/>
        <v>14422000.375</v>
      </c>
      <c r="H56">
        <f t="shared" si="35"/>
        <v>54538484.484999999</v>
      </c>
      <c r="I56">
        <f>VLOOKUP(F56,'Fee Schedule'!$D$5:$F$8,3,TRUE)</f>
        <v>18.5</v>
      </c>
      <c r="J56">
        <f>IFERROR(VLOOKUP(A56,'Fee Schedule'!$A$5:$B$21,2,FALSE),I56)</f>
        <v>18.5</v>
      </c>
      <c r="K56" t="str">
        <f>INDEX('Entity Map'!$C:$C,MATCH(A56,'Entity Map'!$A:$A,0))</f>
        <v>UKCo</v>
      </c>
      <c r="L56" t="str">
        <f>INDEX('Entity Map'!$D:$D,MATCH(A56,'Entity Map'!$A:$A,0))</f>
        <v>CC-110</v>
      </c>
      <c r="M56">
        <f t="shared" si="20"/>
        <v>100896.2</v>
      </c>
      <c r="N56">
        <f t="shared" si="21"/>
        <v>30</v>
      </c>
      <c r="O56">
        <f t="shared" si="22"/>
        <v>30</v>
      </c>
      <c r="P56">
        <f t="shared" si="23"/>
        <v>100896.2</v>
      </c>
      <c r="Q56">
        <f>MAX(P56,'Fee Schedule'!$I$3)</f>
        <v>100896.2</v>
      </c>
      <c r="R56">
        <f>MIN(Q56,'Fee Schedule'!$I$4)</f>
        <v>100896.2</v>
      </c>
      <c r="S56">
        <f>IFERROR(R56*'Fee Schedule'!$I$5,0)</f>
        <v>2522.4050000000002</v>
      </c>
      <c r="T56">
        <f t="shared" si="24"/>
        <v>98373.8</v>
      </c>
      <c r="U56">
        <f>IFERROR(VLOOKUP(A56,Overrides!$A:$C,3,FALSE),T56)</f>
        <v>98373.8</v>
      </c>
      <c r="V56" t="str">
        <f t="shared" si="25"/>
        <v/>
      </c>
      <c r="W56" t="str">
        <f t="shared" si="26"/>
        <v>000-2026-11</v>
      </c>
      <c r="X56">
        <f>COUNTIFS(Positions!$A:$A,A56)</f>
        <v>2</v>
      </c>
      <c r="Y56">
        <f>SUM($U$19:U56)</f>
        <v>3307622.21</v>
      </c>
      <c r="Z56" t="str">
        <f>UPPER(TRIM(INDEX('Entity Map'!$E:$E,MATCH(A56,'Entity Map'!$A:$A,0))))</f>
        <v>EQUITY</v>
      </c>
      <c r="AA56">
        <f>SUMIFS(Positions!$F:$F,Positions!$E:$E,Z56)</f>
        <v>2806311623.6099992</v>
      </c>
      <c r="AB56">
        <f t="shared" si="27"/>
        <v>1.9434222495519751E-2</v>
      </c>
      <c r="AC56">
        <f>SUMPRODUCT(Positions!$F$18:$F$185,--(Positions!$A$18:$A$185=A56))</f>
        <v>109076968.97</v>
      </c>
      <c r="AD56" t="str">
        <f t="shared" si="28"/>
        <v>A</v>
      </c>
      <c r="AE56">
        <f>COUNTIF('Entity Map'!$A:$A,A56)</f>
        <v>1</v>
      </c>
      <c r="AF56">
        <f>MAX(Positions!$C:$C)</f>
        <v>46354</v>
      </c>
      <c r="AG56">
        <f t="shared" si="29"/>
        <v>2026</v>
      </c>
      <c r="AH56">
        <f t="shared" si="30"/>
        <v>141800.06</v>
      </c>
      <c r="AI56">
        <f t="shared" si="31"/>
        <v>43426.259999999995</v>
      </c>
      <c r="AJ56">
        <f t="shared" si="32"/>
        <v>42123.472199999997</v>
      </c>
      <c r="AK56" t="str">
        <f t="shared" si="33"/>
        <v>00038 / 42123.47</v>
      </c>
    </row>
    <row r="57" spans="1:37" x14ac:dyDescent="0.35">
      <c r="A57" t="s">
        <v>101</v>
      </c>
      <c r="B57" t="str">
        <f>INDEX('Entity Map'!$B:$B,MATCH(A57,'Entity Map'!$A:$A,0))</f>
        <v>Client 039 Holdings</v>
      </c>
      <c r="C57">
        <f>INDEX('Entity Map'!$F:$F,MATCH(A57,'Entity Map'!$A:$A,0))</f>
        <v>45363</v>
      </c>
      <c r="D57">
        <f t="shared" si="18"/>
        <v>46327</v>
      </c>
      <c r="E57" t="str">
        <f t="shared" si="19"/>
        <v>2026-11</v>
      </c>
      <c r="F57">
        <f>AVERAGEIFS(Positions!$F:$F,Positions!$A:$A,A57)</f>
        <v>9996444.4800000004</v>
      </c>
      <c r="G57">
        <f t="shared" si="34"/>
        <v>54538484.484999999</v>
      </c>
      <c r="H57">
        <f t="shared" si="35"/>
        <v>9996444.4800000004</v>
      </c>
      <c r="I57">
        <f>VLOOKUP(F57,'Fee Schedule'!$D$5:$F$8,3,TRUE)</f>
        <v>27.5</v>
      </c>
      <c r="J57">
        <f>IFERROR(VLOOKUP(A57,'Fee Schedule'!$A$5:$B$21,2,FALSE),I57)</f>
        <v>27.5</v>
      </c>
      <c r="K57" t="str">
        <f>INDEX('Entity Map'!$C:$C,MATCH(A57,'Entity Map'!$A:$A,0))</f>
        <v>DubCo</v>
      </c>
      <c r="L57" t="str">
        <f>INDEX('Entity Map'!$D:$D,MATCH(A57,'Entity Map'!$A:$A,0))</f>
        <v>CC-120</v>
      </c>
      <c r="M57">
        <f t="shared" si="20"/>
        <v>27490.22</v>
      </c>
      <c r="N57">
        <f t="shared" si="21"/>
        <v>30</v>
      </c>
      <c r="O57">
        <f t="shared" si="22"/>
        <v>30</v>
      </c>
      <c r="P57">
        <f t="shared" si="23"/>
        <v>27490.22</v>
      </c>
      <c r="Q57">
        <f>MAX(P57,'Fee Schedule'!$I$3)</f>
        <v>27490.22</v>
      </c>
      <c r="R57">
        <f>MIN(Q57,'Fee Schedule'!$I$4)</f>
        <v>27490.22</v>
      </c>
      <c r="S57">
        <f>IFERROR(R57*'Fee Schedule'!$I$5,0)</f>
        <v>687.2555000000001</v>
      </c>
      <c r="T57">
        <f t="shared" si="24"/>
        <v>26802.959999999999</v>
      </c>
      <c r="U57">
        <f>IFERROR(VLOOKUP(A57,Overrides!$A:$C,3,FALSE),T57)</f>
        <v>26802.959999999999</v>
      </c>
      <c r="V57" t="str">
        <f t="shared" si="25"/>
        <v/>
      </c>
      <c r="W57" t="str">
        <f t="shared" si="26"/>
        <v>000-2026-11</v>
      </c>
      <c r="X57">
        <f>COUNTIFS(Positions!$A:$A,A57)</f>
        <v>2</v>
      </c>
      <c r="Y57">
        <f>SUM($U$19:U57)</f>
        <v>3334425.17</v>
      </c>
      <c r="Z57" t="str">
        <f>UPPER(TRIM(INDEX('Entity Map'!$E:$E,MATCH(A57,'Entity Map'!$A:$A,0))))</f>
        <v>FIXED INCOME</v>
      </c>
      <c r="AA57">
        <f>SUMIFS(Positions!$F:$F,Positions!$E:$E,Z57)</f>
        <v>2496645976.4000001</v>
      </c>
      <c r="AB57">
        <f t="shared" si="27"/>
        <v>4.0039495284846984E-3</v>
      </c>
      <c r="AC57">
        <f>SUMPRODUCT(Positions!$F$18:$F$185,--(Positions!$A$18:$A$185=A57))</f>
        <v>19992888.960000001</v>
      </c>
      <c r="AD57" t="str">
        <f t="shared" si="28"/>
        <v>B</v>
      </c>
      <c r="AE57">
        <f>COUNTIF('Entity Map'!$A:$A,A57)</f>
        <v>1</v>
      </c>
      <c r="AF57">
        <f>MAX(Positions!$C:$C)</f>
        <v>46354</v>
      </c>
      <c r="AG57">
        <f t="shared" si="29"/>
        <v>2026</v>
      </c>
      <c r="AH57">
        <f t="shared" si="30"/>
        <v>25990.76</v>
      </c>
      <c r="AI57">
        <f t="shared" si="31"/>
        <v>-812.20000000000073</v>
      </c>
      <c r="AJ57">
        <f t="shared" si="32"/>
        <v>-787.83400000000063</v>
      </c>
      <c r="AK57" t="str">
        <f t="shared" si="33"/>
        <v>00039 / -787.83</v>
      </c>
    </row>
    <row r="58" spans="1:37" x14ac:dyDescent="0.35">
      <c r="A58" t="s">
        <v>103</v>
      </c>
      <c r="B58" t="str">
        <f>INDEX('Entity Map'!$B:$B,MATCH(A58,'Entity Map'!$A:$A,0))</f>
        <v>Client 040 Holdings</v>
      </c>
      <c r="C58">
        <f>INDEX('Entity Map'!$F:$F,MATCH(A58,'Entity Map'!$A:$A,0))</f>
        <v>45364</v>
      </c>
      <c r="D58">
        <f t="shared" si="18"/>
        <v>46327</v>
      </c>
      <c r="E58" t="str">
        <f t="shared" si="19"/>
        <v>2026-11</v>
      </c>
      <c r="F58">
        <f>AVERAGEIFS(Positions!$F:$F,Positions!$A:$A,A58)</f>
        <v>59352745.524999999</v>
      </c>
      <c r="G58">
        <f t="shared" si="34"/>
        <v>9996444.4800000004</v>
      </c>
      <c r="H58">
        <f t="shared" si="35"/>
        <v>59352745.524999999</v>
      </c>
      <c r="I58">
        <f>VLOOKUP(F58,'Fee Schedule'!$D$5:$F$8,3,TRUE)</f>
        <v>18.5</v>
      </c>
      <c r="J58">
        <f>IFERROR(VLOOKUP(A58,'Fee Schedule'!$A$5:$B$21,2,FALSE),I58)</f>
        <v>18.5</v>
      </c>
      <c r="K58" t="str">
        <f>INDEX('Entity Map'!$C:$C,MATCH(A58,'Entity Map'!$A:$A,0))</f>
        <v>LuxCo</v>
      </c>
      <c r="L58" t="str">
        <f>INDEX('Entity Map'!$D:$D,MATCH(A58,'Entity Map'!$A:$A,0))</f>
        <v>CC-130</v>
      </c>
      <c r="M58">
        <f t="shared" si="20"/>
        <v>109802.58</v>
      </c>
      <c r="N58">
        <f t="shared" si="21"/>
        <v>30</v>
      </c>
      <c r="O58">
        <f t="shared" si="22"/>
        <v>30</v>
      </c>
      <c r="P58">
        <f t="shared" si="23"/>
        <v>109802.58</v>
      </c>
      <c r="Q58">
        <f>MAX(P58,'Fee Schedule'!$I$3)</f>
        <v>109802.58</v>
      </c>
      <c r="R58">
        <f>MIN(Q58,'Fee Schedule'!$I$4)</f>
        <v>109802.58</v>
      </c>
      <c r="S58">
        <f>IFERROR(R58*'Fee Schedule'!$I$5,0)</f>
        <v>2745.0645000000004</v>
      </c>
      <c r="T58">
        <f t="shared" si="24"/>
        <v>107057.52</v>
      </c>
      <c r="U58">
        <f>IFERROR(VLOOKUP(A58,Overrides!$A:$C,3,FALSE),T58)</f>
        <v>107057.52</v>
      </c>
      <c r="V58" t="str">
        <f t="shared" si="25"/>
        <v/>
      </c>
      <c r="W58" t="str">
        <f t="shared" si="26"/>
        <v>000-2026-11</v>
      </c>
      <c r="X58">
        <f>COUNTIFS(Positions!$A:$A,A58)</f>
        <v>2</v>
      </c>
      <c r="Y58">
        <f>SUM($U$19:U58)</f>
        <v>3441482.69</v>
      </c>
      <c r="Z58" t="str">
        <f>UPPER(TRIM(INDEX('Entity Map'!$E:$E,MATCH(A58,'Entity Map'!$A:$A,0))))</f>
        <v>BALANCED</v>
      </c>
      <c r="AA58">
        <f>SUMIFS(Positions!$F:$F,Positions!$E:$E,Z58)</f>
        <v>2420753390.7000003</v>
      </c>
      <c r="AB58">
        <f t="shared" si="27"/>
        <v>2.4518294904809442E-2</v>
      </c>
      <c r="AC58">
        <f>SUMPRODUCT(Positions!$F$18:$F$185,--(Positions!$A$18:$A$185=A58))</f>
        <v>118705491.05</v>
      </c>
      <c r="AD58" t="str">
        <f t="shared" si="28"/>
        <v>A</v>
      </c>
      <c r="AE58">
        <f>COUNTIF('Entity Map'!$A:$A,A58)</f>
        <v>1</v>
      </c>
      <c r="AF58">
        <f>MAX(Positions!$C:$C)</f>
        <v>46354</v>
      </c>
      <c r="AG58">
        <f t="shared" si="29"/>
        <v>2026</v>
      </c>
      <c r="AH58">
        <f t="shared" si="30"/>
        <v>154317.14000000001</v>
      </c>
      <c r="AI58">
        <f t="shared" si="31"/>
        <v>47259.62000000001</v>
      </c>
      <c r="AJ58">
        <f t="shared" si="32"/>
        <v>45841.83140000001</v>
      </c>
      <c r="AK58" t="str">
        <f t="shared" si="33"/>
        <v>00040 / 45841.83</v>
      </c>
    </row>
    <row r="59" spans="1:37" x14ac:dyDescent="0.35">
      <c r="A59" t="s">
        <v>105</v>
      </c>
      <c r="B59" t="str">
        <f>INDEX('Entity Map'!$B:$B,MATCH(A59,'Entity Map'!$A:$A,0))</f>
        <v>O'Hanlon &amp; Reid Nominees</v>
      </c>
      <c r="C59">
        <f>INDEX('Entity Map'!$F:$F,MATCH(A59,'Entity Map'!$A:$A,0))</f>
        <v>45365</v>
      </c>
      <c r="D59">
        <f t="shared" si="18"/>
        <v>46327</v>
      </c>
      <c r="E59" t="str">
        <f t="shared" si="19"/>
        <v>2026-11</v>
      </c>
      <c r="F59">
        <f>AVERAGEIFS(Positions!$F:$F,Positions!$A:$A,A59)</f>
        <v>68019901.200000003</v>
      </c>
      <c r="G59">
        <f t="shared" si="34"/>
        <v>59352745.524999999</v>
      </c>
      <c r="H59">
        <f t="shared" si="35"/>
        <v>68019901.200000003</v>
      </c>
      <c r="I59">
        <f>VLOOKUP(F59,'Fee Schedule'!$D$5:$F$8,3,TRUE)</f>
        <v>18.5</v>
      </c>
      <c r="J59" t="str">
        <f>IFERROR(VLOOKUP(A59,'Fee Schedule'!$A$5:$B$21,2,FALSE),I59)</f>
        <v>26.0</v>
      </c>
      <c r="K59" t="str">
        <f>INDEX('Entity Map'!$C:$C,MATCH(A59,'Entity Map'!$A:$A,0))</f>
        <v>UKCo</v>
      </c>
      <c r="L59" t="str">
        <f>INDEX('Entity Map'!$D:$D,MATCH(A59,'Entity Map'!$A:$A,0))</f>
        <v>CC-140</v>
      </c>
      <c r="M59">
        <f t="shared" si="20"/>
        <v>176851.74</v>
      </c>
      <c r="N59">
        <f t="shared" si="21"/>
        <v>30</v>
      </c>
      <c r="O59">
        <f t="shared" si="22"/>
        <v>30</v>
      </c>
      <c r="P59">
        <f t="shared" si="23"/>
        <v>176851.74</v>
      </c>
      <c r="Q59">
        <f>MAX(P59,'Fee Schedule'!$I$3)</f>
        <v>176851.74</v>
      </c>
      <c r="R59">
        <f>MIN(Q59,'Fee Schedule'!$I$4)</f>
        <v>176851.74</v>
      </c>
      <c r="S59">
        <f>IFERROR(R59*'Fee Schedule'!$I$5,0)</f>
        <v>4421.2934999999998</v>
      </c>
      <c r="T59">
        <f t="shared" si="24"/>
        <v>172430.45</v>
      </c>
      <c r="U59">
        <f>IFERROR(VLOOKUP(A59,Overrides!$A:$C,3,FALSE),T59)</f>
        <v>18500</v>
      </c>
      <c r="V59" t="str">
        <f t="shared" si="25"/>
        <v>OVERRIDE</v>
      </c>
      <c r="W59" t="str">
        <f t="shared" si="26"/>
        <v>000-2026-11</v>
      </c>
      <c r="X59">
        <f>COUNTIFS(Positions!$A:$A,A59)</f>
        <v>2</v>
      </c>
      <c r="Y59">
        <f>SUM($U$19:U59)</f>
        <v>3459982.69</v>
      </c>
      <c r="Z59" t="str">
        <f>UPPER(TRIM(INDEX('Entity Map'!$E:$E,MATCH(A59,'Entity Map'!$A:$A,0))))</f>
        <v>EQUITY</v>
      </c>
      <c r="AA59">
        <f>SUMIFS(Positions!$F:$F,Positions!$E:$E,Z59)</f>
        <v>2806311623.6099992</v>
      </c>
      <c r="AB59">
        <f t="shared" si="27"/>
        <v>2.4238185320452819E-2</v>
      </c>
      <c r="AC59">
        <f>SUMPRODUCT(Positions!$F$18:$F$185,--(Positions!$A$18:$A$185=A59))</f>
        <v>136039802.40000001</v>
      </c>
      <c r="AD59" t="str">
        <f t="shared" si="28"/>
        <v>B</v>
      </c>
      <c r="AE59">
        <f>COUNTIF('Entity Map'!$A:$A,A59)</f>
        <v>1</v>
      </c>
      <c r="AF59">
        <f>MAX(Positions!$C:$C)</f>
        <v>46354</v>
      </c>
      <c r="AG59">
        <f t="shared" si="29"/>
        <v>2026</v>
      </c>
      <c r="AH59">
        <f t="shared" si="30"/>
        <v>176851.74</v>
      </c>
      <c r="AI59">
        <f t="shared" si="31"/>
        <v>4421.289999999979</v>
      </c>
      <c r="AJ59">
        <f t="shared" si="32"/>
        <v>4288.6512999999795</v>
      </c>
      <c r="AK59" t="str">
        <f t="shared" si="33"/>
        <v>00041 / 4288.65</v>
      </c>
    </row>
    <row r="60" spans="1:37" x14ac:dyDescent="0.35">
      <c r="A60" t="s">
        <v>107</v>
      </c>
      <c r="B60" t="str">
        <f>INDEX('Entity Map'!$B:$B,MATCH(A60,'Entity Map'!$A:$A,0))</f>
        <v>Client 042 Holdings</v>
      </c>
      <c r="C60">
        <f>INDEX('Entity Map'!$F:$F,MATCH(A60,'Entity Map'!$A:$A,0))</f>
        <v>45366</v>
      </c>
      <c r="D60">
        <f t="shared" si="18"/>
        <v>46327</v>
      </c>
      <c r="E60" t="str">
        <f t="shared" si="19"/>
        <v>2026-11</v>
      </c>
      <c r="F60">
        <f>AVERAGEIFS(Positions!$F:$F,Positions!$A:$A,A60)</f>
        <v>17333865.32</v>
      </c>
      <c r="G60">
        <f t="shared" si="34"/>
        <v>68019901.200000003</v>
      </c>
      <c r="H60">
        <f t="shared" si="35"/>
        <v>17333865.32</v>
      </c>
      <c r="I60">
        <f>VLOOKUP(F60,'Fee Schedule'!$D$5:$F$8,3,TRUE)</f>
        <v>27.5</v>
      </c>
      <c r="J60">
        <f>IFERROR(VLOOKUP(A60,'Fee Schedule'!$A$5:$B$21,2,FALSE),I60)</f>
        <v>27.5</v>
      </c>
      <c r="K60" t="str">
        <f>INDEX('Entity Map'!$C:$C,MATCH(A60,'Entity Map'!$A:$A,0))</f>
        <v>DubCo</v>
      </c>
      <c r="L60" t="str">
        <f>INDEX('Entity Map'!$D:$D,MATCH(A60,'Entity Map'!$A:$A,0))</f>
        <v>CC-150</v>
      </c>
      <c r="M60">
        <f t="shared" si="20"/>
        <v>47668.13</v>
      </c>
      <c r="N60">
        <f t="shared" si="21"/>
        <v>30</v>
      </c>
      <c r="O60">
        <f t="shared" si="22"/>
        <v>30</v>
      </c>
      <c r="P60">
        <f t="shared" si="23"/>
        <v>47668.13</v>
      </c>
      <c r="Q60">
        <f>MAX(P60,'Fee Schedule'!$I$3)</f>
        <v>47668.13</v>
      </c>
      <c r="R60">
        <f>MIN(Q60,'Fee Schedule'!$I$4)</f>
        <v>47668.13</v>
      </c>
      <c r="S60">
        <f>IFERROR(R60*'Fee Schedule'!$I$5,0)</f>
        <v>1191.70325</v>
      </c>
      <c r="T60">
        <f t="shared" si="24"/>
        <v>46476.43</v>
      </c>
      <c r="U60">
        <f>IFERROR(VLOOKUP(A60,Overrides!$A:$C,3,FALSE),T60)</f>
        <v>46476.43</v>
      </c>
      <c r="V60" t="str">
        <f t="shared" si="25"/>
        <v/>
      </c>
      <c r="W60" t="str">
        <f t="shared" si="26"/>
        <v>000-2026-11</v>
      </c>
      <c r="X60">
        <f>COUNTIFS(Positions!$A:$A,A60)</f>
        <v>2</v>
      </c>
      <c r="Y60">
        <f>SUM($U$19:U60)</f>
        <v>3506459.12</v>
      </c>
      <c r="Z60" t="str">
        <f>UPPER(TRIM(INDEX('Entity Map'!$E:$E,MATCH(A60,'Entity Map'!$A:$A,0))))</f>
        <v>FIXED INCOME</v>
      </c>
      <c r="AA60">
        <f>SUMIFS(Positions!$F:$F,Positions!$E:$E,Z60)</f>
        <v>2496645976.4000001</v>
      </c>
      <c r="AB60">
        <f t="shared" si="27"/>
        <v>6.9428607355033565E-3</v>
      </c>
      <c r="AC60">
        <f>SUMPRODUCT(Positions!$F$18:$F$185,--(Positions!$A$18:$A$185=A60))</f>
        <v>34667730.640000001</v>
      </c>
      <c r="AD60" t="str">
        <f t="shared" si="28"/>
        <v>A</v>
      </c>
      <c r="AE60">
        <f>COUNTIF('Entity Map'!$A:$A,A60)</f>
        <v>1</v>
      </c>
      <c r="AF60">
        <f>MAX(Positions!$C:$C)</f>
        <v>46354</v>
      </c>
      <c r="AG60">
        <f t="shared" si="29"/>
        <v>2026</v>
      </c>
      <c r="AH60">
        <f t="shared" si="30"/>
        <v>45068.05</v>
      </c>
      <c r="AI60">
        <f t="shared" si="31"/>
        <v>-1408.3799999999974</v>
      </c>
      <c r="AJ60">
        <f t="shared" si="32"/>
        <v>-1366.1285999999975</v>
      </c>
      <c r="AK60" t="str">
        <f t="shared" si="33"/>
        <v>00042 / -1366.13</v>
      </c>
    </row>
    <row r="61" spans="1:37" x14ac:dyDescent="0.35">
      <c r="A61" t="s">
        <v>109</v>
      </c>
      <c r="B61" t="str">
        <f>INDEX('Entity Map'!$B:$B,MATCH(A61,'Entity Map'!$A:$A,0))</f>
        <v>Client 043 Holdings</v>
      </c>
      <c r="C61">
        <f>INDEX('Entity Map'!$F:$F,MATCH(A61,'Entity Map'!$A:$A,0))</f>
        <v>45367</v>
      </c>
      <c r="D61">
        <f t="shared" si="18"/>
        <v>46327</v>
      </c>
      <c r="E61" t="str">
        <f t="shared" si="19"/>
        <v>2026-11</v>
      </c>
      <c r="F61">
        <f>AVERAGEIFS(Positions!$F:$F,Positions!$A:$A,A61)</f>
        <v>40709886.230000004</v>
      </c>
      <c r="G61">
        <f t="shared" si="34"/>
        <v>17333865.32</v>
      </c>
      <c r="H61">
        <f t="shared" si="35"/>
        <v>40709886.230000004</v>
      </c>
      <c r="I61">
        <f>VLOOKUP(F61,'Fee Schedule'!$D$5:$F$8,3,TRUE)</f>
        <v>22</v>
      </c>
      <c r="J61">
        <f>IFERROR(VLOOKUP(A61,'Fee Schedule'!$A$5:$B$21,2,FALSE),I61)</f>
        <v>22</v>
      </c>
      <c r="K61" t="str">
        <f>INDEX('Entity Map'!$C:$C,MATCH(A61,'Entity Map'!$A:$A,0))</f>
        <v>LuxCo</v>
      </c>
      <c r="L61" t="str">
        <f>INDEX('Entity Map'!$D:$D,MATCH(A61,'Entity Map'!$A:$A,0))</f>
        <v>CC-100</v>
      </c>
      <c r="M61">
        <f t="shared" si="20"/>
        <v>89561.75</v>
      </c>
      <c r="N61">
        <f t="shared" si="21"/>
        <v>30</v>
      </c>
      <c r="O61">
        <f t="shared" si="22"/>
        <v>30</v>
      </c>
      <c r="P61">
        <f t="shared" si="23"/>
        <v>89561.75</v>
      </c>
      <c r="Q61">
        <f>MAX(P61,'Fee Schedule'!$I$3)</f>
        <v>89561.75</v>
      </c>
      <c r="R61">
        <f>MIN(Q61,'Fee Schedule'!$I$4)</f>
        <v>89561.75</v>
      </c>
      <c r="S61">
        <f>IFERROR(R61*'Fee Schedule'!$I$5,0)</f>
        <v>2239.0437500000003</v>
      </c>
      <c r="T61">
        <f t="shared" si="24"/>
        <v>87322.71</v>
      </c>
      <c r="U61">
        <f>IFERROR(VLOOKUP(A61,Overrides!$A:$C,3,FALSE),T61)</f>
        <v>87322.71</v>
      </c>
      <c r="V61" t="str">
        <f t="shared" si="25"/>
        <v/>
      </c>
      <c r="W61" t="str">
        <f t="shared" si="26"/>
        <v>000-2026-11</v>
      </c>
      <c r="X61">
        <f>COUNTIFS(Positions!$A:$A,A61)</f>
        <v>2</v>
      </c>
      <c r="Y61">
        <f>SUM($U$19:U61)</f>
        <v>3593781.83</v>
      </c>
      <c r="Z61" t="str">
        <f>UPPER(TRIM(INDEX('Entity Map'!$E:$E,MATCH(A61,'Entity Map'!$A:$A,0))))</f>
        <v>BALANCED</v>
      </c>
      <c r="AA61">
        <f>SUMIFS(Positions!$F:$F,Positions!$E:$E,Z61)</f>
        <v>2420753390.7000003</v>
      </c>
      <c r="AB61">
        <f t="shared" si="27"/>
        <v>1.6817031584629147E-2</v>
      </c>
      <c r="AC61">
        <f>SUMPRODUCT(Positions!$F$18:$F$185,--(Positions!$A$18:$A$185=A61))</f>
        <v>81419772.460000008</v>
      </c>
      <c r="AD61" t="str">
        <f t="shared" si="28"/>
        <v>A</v>
      </c>
      <c r="AE61">
        <f>COUNTIF('Entity Map'!$A:$A,A61)</f>
        <v>1</v>
      </c>
      <c r="AF61">
        <f>MAX(Positions!$C:$C)</f>
        <v>46354</v>
      </c>
      <c r="AG61">
        <f t="shared" si="29"/>
        <v>2026</v>
      </c>
      <c r="AH61">
        <f t="shared" si="30"/>
        <v>105845.7</v>
      </c>
      <c r="AI61">
        <f t="shared" si="31"/>
        <v>18522.989999999991</v>
      </c>
      <c r="AJ61">
        <f t="shared" si="32"/>
        <v>17967.300299999992</v>
      </c>
      <c r="AK61" t="str">
        <f t="shared" si="33"/>
        <v>00043 / 17967.30</v>
      </c>
    </row>
    <row r="62" spans="1:37" x14ac:dyDescent="0.35">
      <c r="A62" t="s">
        <v>111</v>
      </c>
      <c r="B62" t="str">
        <f>INDEX('Entity Map'!$B:$B,MATCH(A62,'Entity Map'!$A:$A,0))</f>
        <v>Client 044 Holdings</v>
      </c>
      <c r="C62">
        <f>INDEX('Entity Map'!$F:$F,MATCH(A62,'Entity Map'!$A:$A,0))</f>
        <v>45368</v>
      </c>
      <c r="D62">
        <f t="shared" si="18"/>
        <v>46327</v>
      </c>
      <c r="E62" t="str">
        <f t="shared" si="19"/>
        <v>2026-11</v>
      </c>
      <c r="F62">
        <f>AVERAGEIFS(Positions!$F:$F,Positions!$A:$A,A62)</f>
        <v>49646138.219999999</v>
      </c>
      <c r="G62">
        <f t="shared" si="34"/>
        <v>40709886.230000004</v>
      </c>
      <c r="H62">
        <f t="shared" si="35"/>
        <v>49646138.219999999</v>
      </c>
      <c r="I62">
        <f>VLOOKUP(F62,'Fee Schedule'!$D$5:$F$8,3,TRUE)</f>
        <v>22</v>
      </c>
      <c r="J62">
        <f>IFERROR(VLOOKUP(A62,'Fee Schedule'!$A$5:$B$21,2,FALSE),I62)</f>
        <v>22</v>
      </c>
      <c r="K62" t="str">
        <f>INDEX('Entity Map'!$C:$C,MATCH(A62,'Entity Map'!$A:$A,0))</f>
        <v>UKCo</v>
      </c>
      <c r="L62" t="str">
        <f>INDEX('Entity Map'!$D:$D,MATCH(A62,'Entity Map'!$A:$A,0))</f>
        <v>CC-110</v>
      </c>
      <c r="M62">
        <f t="shared" si="20"/>
        <v>109221.5</v>
      </c>
      <c r="N62">
        <f t="shared" si="21"/>
        <v>30</v>
      </c>
      <c r="O62">
        <f t="shared" si="22"/>
        <v>30</v>
      </c>
      <c r="P62">
        <f t="shared" si="23"/>
        <v>109221.5</v>
      </c>
      <c r="Q62">
        <f>MAX(P62,'Fee Schedule'!$I$3)</f>
        <v>109221.5</v>
      </c>
      <c r="R62">
        <f>MIN(Q62,'Fee Schedule'!$I$4)</f>
        <v>109221.5</v>
      </c>
      <c r="S62">
        <f>IFERROR(R62*'Fee Schedule'!$I$5,0)</f>
        <v>2730.5375000000004</v>
      </c>
      <c r="T62">
        <f t="shared" si="24"/>
        <v>106490.96</v>
      </c>
      <c r="U62">
        <f>IFERROR(VLOOKUP(A62,Overrides!$A:$C,3,FALSE),T62)</f>
        <v>106490.96</v>
      </c>
      <c r="V62" t="str">
        <f t="shared" si="25"/>
        <v/>
      </c>
      <c r="W62" t="str">
        <f t="shared" si="26"/>
        <v>000-2026-11</v>
      </c>
      <c r="X62">
        <f>COUNTIFS(Positions!$A:$A,A62)</f>
        <v>2</v>
      </c>
      <c r="Y62">
        <f>SUM($U$19:U62)</f>
        <v>3700272.79</v>
      </c>
      <c r="Z62" t="str">
        <f>UPPER(TRIM(INDEX('Entity Map'!$E:$E,MATCH(A62,'Entity Map'!$A:$A,0))))</f>
        <v>EQUITY</v>
      </c>
      <c r="AA62">
        <f>SUMIFS(Positions!$F:$F,Positions!$E:$E,Z62)</f>
        <v>2806311623.6099992</v>
      </c>
      <c r="AB62">
        <f t="shared" si="27"/>
        <v>1.7690885717152081E-2</v>
      </c>
      <c r="AC62">
        <f>SUMPRODUCT(Positions!$F$18:$F$185,--(Positions!$A$18:$A$185=A62))</f>
        <v>99292276.439999998</v>
      </c>
      <c r="AD62" t="str">
        <f t="shared" si="28"/>
        <v>A</v>
      </c>
      <c r="AE62">
        <f>COUNTIF('Entity Map'!$A:$A,A62)</f>
        <v>1</v>
      </c>
      <c r="AF62">
        <f>MAX(Positions!$C:$C)</f>
        <v>46354</v>
      </c>
      <c r="AG62">
        <f t="shared" si="29"/>
        <v>2026</v>
      </c>
      <c r="AH62">
        <f t="shared" si="30"/>
        <v>129079.96</v>
      </c>
      <c r="AI62">
        <f t="shared" si="31"/>
        <v>22589</v>
      </c>
      <c r="AJ62">
        <f t="shared" si="32"/>
        <v>21911.329999999998</v>
      </c>
      <c r="AK62" t="str">
        <f t="shared" si="33"/>
        <v>00044 / 21911.33</v>
      </c>
    </row>
    <row r="63" spans="1:37" x14ac:dyDescent="0.35">
      <c r="A63" t="s">
        <v>113</v>
      </c>
      <c r="B63" t="str">
        <f>INDEX('Entity Map'!$B:$B,MATCH(A63,'Entity Map'!$A:$A,0))</f>
        <v>Client 045 Holdings</v>
      </c>
      <c r="C63">
        <f>INDEX('Entity Map'!$F:$F,MATCH(A63,'Entity Map'!$A:$A,0))</f>
        <v>45369</v>
      </c>
      <c r="D63">
        <f t="shared" si="18"/>
        <v>46327</v>
      </c>
      <c r="E63" t="str">
        <f t="shared" si="19"/>
        <v>2026-11</v>
      </c>
      <c r="F63">
        <f>AVERAGEIFS(Positions!$F:$F,Positions!$A:$A,A63)</f>
        <v>58045417.180000007</v>
      </c>
      <c r="G63">
        <f t="shared" si="34"/>
        <v>49646138.219999999</v>
      </c>
      <c r="H63">
        <f t="shared" si="35"/>
        <v>58045417.180000007</v>
      </c>
      <c r="I63">
        <f>VLOOKUP(F63,'Fee Schedule'!$D$5:$F$8,3,TRUE)</f>
        <v>18.5</v>
      </c>
      <c r="J63">
        <f>IFERROR(VLOOKUP(A63,'Fee Schedule'!$A$5:$B$21,2,FALSE),I63)</f>
        <v>18.5</v>
      </c>
      <c r="K63" t="str">
        <f>INDEX('Entity Map'!$C:$C,MATCH(A63,'Entity Map'!$A:$A,0))</f>
        <v>DubCo</v>
      </c>
      <c r="L63" t="str">
        <f>INDEX('Entity Map'!$D:$D,MATCH(A63,'Entity Map'!$A:$A,0))</f>
        <v>CC-120</v>
      </c>
      <c r="M63">
        <f t="shared" si="20"/>
        <v>107384.02</v>
      </c>
      <c r="N63">
        <f t="shared" si="21"/>
        <v>30</v>
      </c>
      <c r="O63">
        <f t="shared" si="22"/>
        <v>30</v>
      </c>
      <c r="P63">
        <f t="shared" si="23"/>
        <v>107384.02</v>
      </c>
      <c r="Q63">
        <f>MAX(P63,'Fee Schedule'!$I$3)</f>
        <v>107384.02</v>
      </c>
      <c r="R63">
        <f>MIN(Q63,'Fee Schedule'!$I$4)</f>
        <v>107384.02</v>
      </c>
      <c r="S63">
        <f>IFERROR(R63*'Fee Schedule'!$I$5,0)</f>
        <v>2684.6005000000005</v>
      </c>
      <c r="T63">
        <f t="shared" si="24"/>
        <v>104699.42</v>
      </c>
      <c r="U63">
        <f>IFERROR(VLOOKUP(A63,Overrides!$A:$C,3,FALSE),T63)</f>
        <v>104699.42</v>
      </c>
      <c r="V63" t="str">
        <f t="shared" si="25"/>
        <v/>
      </c>
      <c r="W63" t="str">
        <f t="shared" si="26"/>
        <v>000-2026-11</v>
      </c>
      <c r="X63">
        <f>COUNTIFS(Positions!$A:$A,A63)</f>
        <v>2</v>
      </c>
      <c r="Y63">
        <f>SUM($U$19:U63)</f>
        <v>3804972.21</v>
      </c>
      <c r="Z63" t="str">
        <f>UPPER(TRIM(INDEX('Entity Map'!$E:$E,MATCH(A63,'Entity Map'!$A:$A,0))))</f>
        <v>FIXED INCOME</v>
      </c>
      <c r="AA63">
        <f>SUMIFS(Positions!$F:$F,Positions!$E:$E,Z63)</f>
        <v>2496645976.4000001</v>
      </c>
      <c r="AB63">
        <f t="shared" si="27"/>
        <v>2.3249358430744632E-2</v>
      </c>
      <c r="AC63">
        <f>SUMPRODUCT(Positions!$F$18:$F$185,--(Positions!$A$18:$A$185=A63))</f>
        <v>116090834.36000001</v>
      </c>
      <c r="AD63" t="str">
        <f t="shared" si="28"/>
        <v>A</v>
      </c>
      <c r="AE63">
        <f>COUNTIF('Entity Map'!$A:$A,A63)</f>
        <v>1</v>
      </c>
      <c r="AF63">
        <f>MAX(Positions!$C:$C)</f>
        <v>46354</v>
      </c>
      <c r="AG63">
        <f t="shared" si="29"/>
        <v>2026</v>
      </c>
      <c r="AH63">
        <f t="shared" si="30"/>
        <v>150918.07999999999</v>
      </c>
      <c r="AI63">
        <f t="shared" si="31"/>
        <v>46218.659999999989</v>
      </c>
      <c r="AJ63">
        <f t="shared" si="32"/>
        <v>44832.100199999986</v>
      </c>
      <c r="AK63" t="str">
        <f t="shared" si="33"/>
        <v>00045 / 44832.10</v>
      </c>
    </row>
    <row r="64" spans="1:37" x14ac:dyDescent="0.35">
      <c r="A64" t="s">
        <v>115</v>
      </c>
      <c r="B64" t="str">
        <f>INDEX('Entity Map'!$B:$B,MATCH(A64,'Entity Map'!$A:$A,0))</f>
        <v>Client 046 Holdings</v>
      </c>
      <c r="C64">
        <f>INDEX('Entity Map'!$F:$F,MATCH(A64,'Entity Map'!$A:$A,0))</f>
        <v>45370</v>
      </c>
      <c r="D64">
        <f t="shared" si="18"/>
        <v>46327</v>
      </c>
      <c r="E64" t="str">
        <f t="shared" si="19"/>
        <v>2026-11</v>
      </c>
      <c r="F64">
        <f>AVERAGEIFS(Positions!$F:$F,Positions!$A:$A,A64)</f>
        <v>34758382.780000001</v>
      </c>
      <c r="G64">
        <f t="shared" si="34"/>
        <v>58045417.180000007</v>
      </c>
      <c r="H64">
        <f t="shared" si="35"/>
        <v>34758382.780000001</v>
      </c>
      <c r="I64">
        <f>VLOOKUP(F64,'Fee Schedule'!$D$5:$F$8,3,TRUE)</f>
        <v>22</v>
      </c>
      <c r="J64" t="str">
        <f>IFERROR(VLOOKUP(A64,'Fee Schedule'!$A$5:$B$21,2,FALSE),I64)</f>
        <v>20.0</v>
      </c>
      <c r="K64" t="str">
        <f>INDEX('Entity Map'!$C:$C,MATCH(A64,'Entity Map'!$A:$A,0))</f>
        <v>LuxCo</v>
      </c>
      <c r="L64" t="str">
        <f>INDEX('Entity Map'!$D:$D,MATCH(A64,'Entity Map'!$A:$A,0))</f>
        <v>CC-130</v>
      </c>
      <c r="M64">
        <f t="shared" si="20"/>
        <v>69516.77</v>
      </c>
      <c r="N64">
        <f t="shared" si="21"/>
        <v>30</v>
      </c>
      <c r="O64">
        <f t="shared" si="22"/>
        <v>30</v>
      </c>
      <c r="P64">
        <f t="shared" si="23"/>
        <v>69516.77</v>
      </c>
      <c r="Q64">
        <f>MAX(P64,'Fee Schedule'!$I$3)</f>
        <v>69516.77</v>
      </c>
      <c r="R64">
        <f>MIN(Q64,'Fee Schedule'!$I$4)</f>
        <v>69516.77</v>
      </c>
      <c r="S64">
        <f>IFERROR(R64*'Fee Schedule'!$I$5,0)</f>
        <v>1737.9192500000001</v>
      </c>
      <c r="T64">
        <f t="shared" si="24"/>
        <v>67778.850000000006</v>
      </c>
      <c r="U64">
        <f>IFERROR(VLOOKUP(A64,Overrides!$A:$C,3,FALSE),T64)</f>
        <v>67778.850000000006</v>
      </c>
      <c r="V64" t="str">
        <f t="shared" si="25"/>
        <v/>
      </c>
      <c r="W64" t="str">
        <f t="shared" si="26"/>
        <v>000-2026-11</v>
      </c>
      <c r="X64">
        <f>COUNTIFS(Positions!$A:$A,A64)</f>
        <v>2</v>
      </c>
      <c r="Y64">
        <f>SUM($U$19:U64)</f>
        <v>3872751.06</v>
      </c>
      <c r="Z64" t="str">
        <f>UPPER(TRIM(INDEX('Entity Map'!$E:$E,MATCH(A64,'Entity Map'!$A:$A,0))))</f>
        <v>BALANCED</v>
      </c>
      <c r="AA64">
        <f>SUMIFS(Positions!$F:$F,Positions!$E:$E,Z64)</f>
        <v>2420753390.7000003</v>
      </c>
      <c r="AB64">
        <f t="shared" si="27"/>
        <v>1.4358498025256941E-2</v>
      </c>
      <c r="AC64">
        <f>SUMPRODUCT(Positions!$F$18:$F$185,--(Positions!$A$18:$A$185=A64))</f>
        <v>69516765.560000002</v>
      </c>
      <c r="AD64" t="str">
        <f t="shared" si="28"/>
        <v>A</v>
      </c>
      <c r="AE64">
        <f>COUNTIF('Entity Map'!$A:$A,A64)</f>
        <v>1</v>
      </c>
      <c r="AF64">
        <f>MAX(Positions!$C:$C)</f>
        <v>46354</v>
      </c>
      <c r="AG64">
        <f t="shared" si="29"/>
        <v>2026</v>
      </c>
      <c r="AH64">
        <f t="shared" si="30"/>
        <v>90371.8</v>
      </c>
      <c r="AI64">
        <f t="shared" si="31"/>
        <v>22592.949999999997</v>
      </c>
      <c r="AJ64">
        <f t="shared" si="32"/>
        <v>21915.161499999998</v>
      </c>
      <c r="AK64" t="str">
        <f t="shared" si="33"/>
        <v>00046 / 21915.16</v>
      </c>
    </row>
    <row r="65" spans="1:37" x14ac:dyDescent="0.35">
      <c r="A65" t="s">
        <v>117</v>
      </c>
      <c r="B65" t="str">
        <f>INDEX('Entity Map'!$B:$B,MATCH(A65,'Entity Map'!$A:$A,0))</f>
        <v>Client 047 Holdings</v>
      </c>
      <c r="C65">
        <f>INDEX('Entity Map'!$F:$F,MATCH(A65,'Entity Map'!$A:$A,0))</f>
        <v>45371</v>
      </c>
      <c r="D65">
        <f t="shared" si="18"/>
        <v>46327</v>
      </c>
      <c r="E65" t="str">
        <f t="shared" si="19"/>
        <v>2026-11</v>
      </c>
      <c r="F65">
        <f>AVERAGEIFS(Positions!$F:$F,Positions!$A:$A,A65)</f>
        <v>56245837.505000003</v>
      </c>
      <c r="G65">
        <f t="shared" si="34"/>
        <v>34758382.780000001</v>
      </c>
      <c r="H65">
        <f t="shared" si="35"/>
        <v>56245837.505000003</v>
      </c>
      <c r="I65">
        <f>VLOOKUP(F65,'Fee Schedule'!$D$5:$F$8,3,TRUE)</f>
        <v>18.5</v>
      </c>
      <c r="J65">
        <f>IFERROR(VLOOKUP(A65,'Fee Schedule'!$A$5:$B$21,2,FALSE),I65)</f>
        <v>18.5</v>
      </c>
      <c r="K65" t="str">
        <f>INDEX('Entity Map'!$C:$C,MATCH(A65,'Entity Map'!$A:$A,0))</f>
        <v>UKCo</v>
      </c>
      <c r="L65" t="str">
        <f>INDEX('Entity Map'!$D:$D,MATCH(A65,'Entity Map'!$A:$A,0))</f>
        <v>CC-140</v>
      </c>
      <c r="M65">
        <f t="shared" si="20"/>
        <v>104054.8</v>
      </c>
      <c r="N65">
        <f t="shared" si="21"/>
        <v>30</v>
      </c>
      <c r="O65">
        <f t="shared" si="22"/>
        <v>30</v>
      </c>
      <c r="P65">
        <f t="shared" si="23"/>
        <v>104054.8</v>
      </c>
      <c r="Q65">
        <f>MAX(P65,'Fee Schedule'!$I$3)</f>
        <v>104054.8</v>
      </c>
      <c r="R65">
        <f>MIN(Q65,'Fee Schedule'!$I$4)</f>
        <v>104054.8</v>
      </c>
      <c r="S65">
        <f>IFERROR(R65*'Fee Schedule'!$I$5,0)</f>
        <v>2601.3700000000003</v>
      </c>
      <c r="T65">
        <f t="shared" si="24"/>
        <v>101453.43</v>
      </c>
      <c r="U65">
        <f>IFERROR(VLOOKUP(A65,Overrides!$A:$C,3,FALSE),T65)</f>
        <v>101453.43</v>
      </c>
      <c r="V65" t="str">
        <f t="shared" si="25"/>
        <v/>
      </c>
      <c r="W65" t="str">
        <f t="shared" si="26"/>
        <v>000-2026-11</v>
      </c>
      <c r="X65">
        <f>COUNTIFS(Positions!$A:$A,A65)</f>
        <v>2</v>
      </c>
      <c r="Y65">
        <f>SUM($U$19:U65)</f>
        <v>3974204.49</v>
      </c>
      <c r="Z65" t="str">
        <f>UPPER(TRIM(INDEX('Entity Map'!$E:$E,MATCH(A65,'Entity Map'!$A:$A,0))))</f>
        <v>EQUITY</v>
      </c>
      <c r="AA65">
        <f>SUMIFS(Positions!$F:$F,Positions!$E:$E,Z65)</f>
        <v>2806311623.6099992</v>
      </c>
      <c r="AB65">
        <f t="shared" si="27"/>
        <v>2.0042620011189692E-2</v>
      </c>
      <c r="AC65">
        <f>SUMPRODUCT(Positions!$F$18:$F$185,--(Positions!$A$18:$A$185=A65))</f>
        <v>112491675.01000001</v>
      </c>
      <c r="AD65" t="str">
        <f t="shared" si="28"/>
        <v>A</v>
      </c>
      <c r="AE65">
        <f>COUNTIF('Entity Map'!$A:$A,A65)</f>
        <v>1</v>
      </c>
      <c r="AF65">
        <f>MAX(Positions!$C:$C)</f>
        <v>46354</v>
      </c>
      <c r="AG65">
        <f t="shared" si="29"/>
        <v>2026</v>
      </c>
      <c r="AH65">
        <f t="shared" si="30"/>
        <v>146239.18</v>
      </c>
      <c r="AI65">
        <f t="shared" si="31"/>
        <v>44785.75</v>
      </c>
      <c r="AJ65">
        <f t="shared" si="32"/>
        <v>43442.177499999998</v>
      </c>
      <c r="AK65" t="str">
        <f t="shared" si="33"/>
        <v>00047 / 43442.18</v>
      </c>
    </row>
    <row r="66" spans="1:37" x14ac:dyDescent="0.35">
      <c r="A66" t="s">
        <v>119</v>
      </c>
      <c r="B66" t="str">
        <f>INDEX('Entity Map'!$B:$B,MATCH(A66,'Entity Map'!$A:$A,0))</f>
        <v>Client 048 Holdings</v>
      </c>
      <c r="C66">
        <f>INDEX('Entity Map'!$F:$F,MATCH(A66,'Entity Map'!$A:$A,0))</f>
        <v>45372</v>
      </c>
      <c r="D66">
        <f t="shared" si="18"/>
        <v>46327</v>
      </c>
      <c r="E66" t="str">
        <f t="shared" si="19"/>
        <v>2026-11</v>
      </c>
      <c r="F66">
        <f>AVERAGEIFS(Positions!$F:$F,Positions!$A:$A,A66)</f>
        <v>49647248.200000003</v>
      </c>
      <c r="G66">
        <f t="shared" si="34"/>
        <v>56245837.505000003</v>
      </c>
      <c r="H66">
        <f t="shared" si="35"/>
        <v>49647248.200000003</v>
      </c>
      <c r="I66">
        <f>VLOOKUP(F66,'Fee Schedule'!$D$5:$F$8,3,TRUE)</f>
        <v>22</v>
      </c>
      <c r="J66">
        <f>IFERROR(VLOOKUP(A66,'Fee Schedule'!$A$5:$B$21,2,FALSE),I66)</f>
        <v>22</v>
      </c>
      <c r="K66" t="str">
        <f>INDEX('Entity Map'!$C:$C,MATCH(A66,'Entity Map'!$A:$A,0))</f>
        <v>DubCo</v>
      </c>
      <c r="L66" t="str">
        <f>INDEX('Entity Map'!$D:$D,MATCH(A66,'Entity Map'!$A:$A,0))</f>
        <v>CC-150</v>
      </c>
      <c r="M66">
        <f t="shared" si="20"/>
        <v>109223.95</v>
      </c>
      <c r="N66">
        <f t="shared" si="21"/>
        <v>30</v>
      </c>
      <c r="O66">
        <f t="shared" si="22"/>
        <v>30</v>
      </c>
      <c r="P66">
        <f t="shared" si="23"/>
        <v>109223.95</v>
      </c>
      <c r="Q66">
        <f>MAX(P66,'Fee Schedule'!$I$3)</f>
        <v>109223.95</v>
      </c>
      <c r="R66">
        <f>MIN(Q66,'Fee Schedule'!$I$4)</f>
        <v>109223.95</v>
      </c>
      <c r="S66">
        <f>IFERROR(R66*'Fee Schedule'!$I$5,0)</f>
        <v>2730.5987500000001</v>
      </c>
      <c r="T66">
        <f t="shared" si="24"/>
        <v>106493.35</v>
      </c>
      <c r="U66">
        <f>IFERROR(VLOOKUP(A66,Overrides!$A:$C,3,FALSE),T66)</f>
        <v>106493.35</v>
      </c>
      <c r="V66" t="str">
        <f t="shared" si="25"/>
        <v/>
      </c>
      <c r="W66" t="str">
        <f t="shared" si="26"/>
        <v>000-2026-11</v>
      </c>
      <c r="X66">
        <f>COUNTIFS(Positions!$A:$A,A66)</f>
        <v>2</v>
      </c>
      <c r="Y66">
        <f>SUM($U$19:U66)</f>
        <v>4080697.84</v>
      </c>
      <c r="Z66" t="str">
        <f>UPPER(TRIM(INDEX('Entity Map'!$E:$E,MATCH(A66,'Entity Map'!$A:$A,0))))</f>
        <v>FIXED INCOME</v>
      </c>
      <c r="AA66">
        <f>SUMIFS(Positions!$F:$F,Positions!$E:$E,Z66)</f>
        <v>2496645976.4000001</v>
      </c>
      <c r="AB66">
        <f t="shared" si="27"/>
        <v>1.9885577959109797E-2</v>
      </c>
      <c r="AC66">
        <f>SUMPRODUCT(Positions!$F$18:$F$185,--(Positions!$A$18:$A$185=A66))</f>
        <v>99294496.400000006</v>
      </c>
      <c r="AD66" t="str">
        <f t="shared" si="28"/>
        <v>A</v>
      </c>
      <c r="AE66">
        <f>COUNTIF('Entity Map'!$A:$A,A66)</f>
        <v>1</v>
      </c>
      <c r="AF66">
        <f>MAX(Positions!$C:$C)</f>
        <v>46354</v>
      </c>
      <c r="AG66">
        <f t="shared" si="29"/>
        <v>2026</v>
      </c>
      <c r="AH66">
        <f t="shared" si="30"/>
        <v>129082.85</v>
      </c>
      <c r="AI66">
        <f t="shared" si="31"/>
        <v>22589.5</v>
      </c>
      <c r="AJ66">
        <f t="shared" si="32"/>
        <v>21911.814999999999</v>
      </c>
      <c r="AK66" t="str">
        <f t="shared" si="33"/>
        <v>00048 / 21911.82</v>
      </c>
    </row>
    <row r="67" spans="1:37" x14ac:dyDescent="0.35">
      <c r="A67" t="s">
        <v>121</v>
      </c>
      <c r="B67" t="str">
        <f>INDEX('Entity Map'!$B:$B,MATCH(A67,'Entity Map'!$A:$A,0))</f>
        <v>Client 049 Holdings</v>
      </c>
      <c r="C67">
        <f>INDEX('Entity Map'!$F:$F,MATCH(A67,'Entity Map'!$A:$A,0))</f>
        <v>45373</v>
      </c>
      <c r="D67">
        <f t="shared" si="18"/>
        <v>46327</v>
      </c>
      <c r="E67" t="str">
        <f t="shared" si="19"/>
        <v>2026-11</v>
      </c>
      <c r="F67">
        <f>AVERAGEIFS(Positions!$F:$F,Positions!$A:$A,A67)</f>
        <v>62197847.200000003</v>
      </c>
      <c r="G67">
        <f t="shared" si="34"/>
        <v>49647248.200000003</v>
      </c>
      <c r="H67">
        <f t="shared" si="35"/>
        <v>62197847.200000003</v>
      </c>
      <c r="I67">
        <f>VLOOKUP(F67,'Fee Schedule'!$D$5:$F$8,3,TRUE)</f>
        <v>18.5</v>
      </c>
      <c r="J67">
        <f>IFERROR(VLOOKUP(A67,'Fee Schedule'!$A$5:$B$21,2,FALSE),I67)</f>
        <v>18.5</v>
      </c>
      <c r="K67" t="str">
        <f>INDEX('Entity Map'!$C:$C,MATCH(A67,'Entity Map'!$A:$A,0))</f>
        <v>LuxCo</v>
      </c>
      <c r="L67" t="str">
        <f>INDEX('Entity Map'!$D:$D,MATCH(A67,'Entity Map'!$A:$A,0))</f>
        <v>CC-100</v>
      </c>
      <c r="M67">
        <f t="shared" si="20"/>
        <v>115066.02</v>
      </c>
      <c r="N67">
        <f t="shared" si="21"/>
        <v>30</v>
      </c>
      <c r="O67">
        <f t="shared" si="22"/>
        <v>30</v>
      </c>
      <c r="P67">
        <f t="shared" si="23"/>
        <v>115066.02</v>
      </c>
      <c r="Q67">
        <f>MAX(P67,'Fee Schedule'!$I$3)</f>
        <v>115066.02</v>
      </c>
      <c r="R67">
        <f>MIN(Q67,'Fee Schedule'!$I$4)</f>
        <v>115066.02</v>
      </c>
      <c r="S67">
        <f>IFERROR(R67*'Fee Schedule'!$I$5,0)</f>
        <v>2876.6505000000002</v>
      </c>
      <c r="T67">
        <f t="shared" si="24"/>
        <v>112189.37</v>
      </c>
      <c r="U67">
        <f>IFERROR(VLOOKUP(A67,Overrides!$A:$C,3,FALSE),T67)</f>
        <v>112189.37</v>
      </c>
      <c r="V67" t="str">
        <f t="shared" si="25"/>
        <v/>
      </c>
      <c r="W67" t="str">
        <f t="shared" si="26"/>
        <v>000-2026-11</v>
      </c>
      <c r="X67">
        <f>COUNTIFS(Positions!$A:$A,A67)</f>
        <v>2</v>
      </c>
      <c r="Y67">
        <f>SUM($U$19:U67)</f>
        <v>4192887.21</v>
      </c>
      <c r="Z67" t="str">
        <f>UPPER(TRIM(INDEX('Entity Map'!$E:$E,MATCH(A67,'Entity Map'!$A:$A,0))))</f>
        <v>BALANCED</v>
      </c>
      <c r="AA67">
        <f>SUMIFS(Positions!$F:$F,Positions!$E:$E,Z67)</f>
        <v>2420753390.7000003</v>
      </c>
      <c r="AB67">
        <f t="shared" si="27"/>
        <v>2.5693590862642345E-2</v>
      </c>
      <c r="AC67">
        <f>SUMPRODUCT(Positions!$F$18:$F$185,--(Positions!$A$18:$A$185=A67))</f>
        <v>124395694.40000001</v>
      </c>
      <c r="AD67" t="str">
        <f t="shared" si="28"/>
        <v>A</v>
      </c>
      <c r="AE67">
        <f>COUNTIF('Entity Map'!$A:$A,A67)</f>
        <v>1</v>
      </c>
      <c r="AF67">
        <f>MAX(Positions!$C:$C)</f>
        <v>46354</v>
      </c>
      <c r="AG67">
        <f t="shared" si="29"/>
        <v>2026</v>
      </c>
      <c r="AH67">
        <f t="shared" si="30"/>
        <v>161714.4</v>
      </c>
      <c r="AI67">
        <f t="shared" si="31"/>
        <v>49525.03</v>
      </c>
      <c r="AJ67">
        <f t="shared" si="32"/>
        <v>48039.2791</v>
      </c>
      <c r="AK67" t="str">
        <f t="shared" si="33"/>
        <v>00049 / 48039.28</v>
      </c>
    </row>
    <row r="68" spans="1:37" x14ac:dyDescent="0.35">
      <c r="A68" t="s">
        <v>123</v>
      </c>
      <c r="B68" t="str">
        <f>INDEX('Entity Map'!$B:$B,MATCH(A68,'Entity Map'!$A:$A,0))</f>
        <v>Client 050 Holdings</v>
      </c>
      <c r="C68">
        <f>INDEX('Entity Map'!$F:$F,MATCH(A68,'Entity Map'!$A:$A,0))</f>
        <v>45374</v>
      </c>
      <c r="D68">
        <f t="shared" si="18"/>
        <v>46327</v>
      </c>
      <c r="E68" t="str">
        <f t="shared" si="19"/>
        <v>2026-11</v>
      </c>
      <c r="F68">
        <f>AVERAGEIFS(Positions!$F:$F,Positions!$A:$A,A68)</f>
        <v>53601436.810000002</v>
      </c>
      <c r="G68">
        <f t="shared" si="34"/>
        <v>62197847.200000003</v>
      </c>
      <c r="H68">
        <f t="shared" si="35"/>
        <v>53601436.810000002</v>
      </c>
      <c r="I68">
        <f>VLOOKUP(F68,'Fee Schedule'!$D$5:$F$8,3,TRUE)</f>
        <v>18.5</v>
      </c>
      <c r="J68">
        <f>IFERROR(VLOOKUP(A68,'Fee Schedule'!$A$5:$B$21,2,FALSE),I68)</f>
        <v>18.5</v>
      </c>
      <c r="K68" t="str">
        <f>INDEX('Entity Map'!$C:$C,MATCH(A68,'Entity Map'!$A:$A,0))</f>
        <v>UKCo</v>
      </c>
      <c r="L68" t="str">
        <f>INDEX('Entity Map'!$D:$D,MATCH(A68,'Entity Map'!$A:$A,0))</f>
        <v>CC-110</v>
      </c>
      <c r="M68">
        <f t="shared" si="20"/>
        <v>99162.66</v>
      </c>
      <c r="N68">
        <f t="shared" si="21"/>
        <v>30</v>
      </c>
      <c r="O68">
        <f t="shared" si="22"/>
        <v>30</v>
      </c>
      <c r="P68">
        <f t="shared" si="23"/>
        <v>99162.66</v>
      </c>
      <c r="Q68">
        <f>MAX(P68,'Fee Schedule'!$I$3)</f>
        <v>99162.66</v>
      </c>
      <c r="R68">
        <f>MIN(Q68,'Fee Schedule'!$I$4)</f>
        <v>99162.66</v>
      </c>
      <c r="S68">
        <f>IFERROR(R68*'Fee Schedule'!$I$5,0)</f>
        <v>2479.0665000000004</v>
      </c>
      <c r="T68">
        <f t="shared" si="24"/>
        <v>96683.59</v>
      </c>
      <c r="U68">
        <f>IFERROR(VLOOKUP(A68,Overrides!$A:$C,3,FALSE),T68)</f>
        <v>96683.59</v>
      </c>
      <c r="V68" t="str">
        <f t="shared" si="25"/>
        <v/>
      </c>
      <c r="W68" t="str">
        <f t="shared" si="26"/>
        <v>000-2026-11</v>
      </c>
      <c r="X68">
        <f>COUNTIFS(Positions!$A:$A,A68)</f>
        <v>2</v>
      </c>
      <c r="Y68">
        <f>SUM($U$19:U68)</f>
        <v>4289570.8</v>
      </c>
      <c r="Z68" t="str">
        <f>UPPER(TRIM(INDEX('Entity Map'!$E:$E,MATCH(A68,'Entity Map'!$A:$A,0))))</f>
        <v>EQUITY</v>
      </c>
      <c r="AA68">
        <f>SUMIFS(Positions!$F:$F,Positions!$E:$E,Z68)</f>
        <v>2806311623.6099992</v>
      </c>
      <c r="AB68">
        <f t="shared" si="27"/>
        <v>1.9100315288951366E-2</v>
      </c>
      <c r="AC68">
        <f>SUMPRODUCT(Positions!$F$18:$F$185,--(Positions!$A$18:$A$185=A68))</f>
        <v>107202873.62</v>
      </c>
      <c r="AD68" t="str">
        <f t="shared" si="28"/>
        <v>A</v>
      </c>
      <c r="AE68">
        <f>COUNTIF('Entity Map'!$A:$A,A68)</f>
        <v>1</v>
      </c>
      <c r="AF68">
        <f>MAX(Positions!$C:$C)</f>
        <v>46354</v>
      </c>
      <c r="AG68">
        <f t="shared" si="29"/>
        <v>2026</v>
      </c>
      <c r="AH68">
        <f t="shared" si="30"/>
        <v>139363.74</v>
      </c>
      <c r="AI68">
        <f t="shared" si="31"/>
        <v>42680.149999999994</v>
      </c>
      <c r="AJ68">
        <f t="shared" si="32"/>
        <v>41399.74549999999</v>
      </c>
      <c r="AK68" t="str">
        <f t="shared" si="33"/>
        <v>00050 / 41399.75</v>
      </c>
    </row>
    <row r="69" spans="1:37" x14ac:dyDescent="0.35">
      <c r="A69" t="s">
        <v>125</v>
      </c>
      <c r="B69" t="str">
        <f>INDEX('Entity Map'!$B:$B,MATCH(A69,'Entity Map'!$A:$A,0))</f>
        <v>Client 051 Holdings</v>
      </c>
      <c r="C69">
        <f>INDEX('Entity Map'!$F:$F,MATCH(A69,'Entity Map'!$A:$A,0))</f>
        <v>45375</v>
      </c>
      <c r="D69">
        <f t="shared" si="18"/>
        <v>46327</v>
      </c>
      <c r="E69" t="str">
        <f t="shared" si="19"/>
        <v>2026-11</v>
      </c>
      <c r="F69">
        <f>AVERAGEIFS(Positions!$F:$F,Positions!$A:$A,A69)</f>
        <v>44848048.145000003</v>
      </c>
      <c r="G69">
        <f t="shared" si="34"/>
        <v>53601436.810000002</v>
      </c>
      <c r="H69">
        <f t="shared" si="35"/>
        <v>44848048.145000003</v>
      </c>
      <c r="I69">
        <f>VLOOKUP(F69,'Fee Schedule'!$D$5:$F$8,3,TRUE)</f>
        <v>22</v>
      </c>
      <c r="J69" t="str">
        <f>IFERROR(VLOOKUP(A69,'Fee Schedule'!$A$5:$B$21,2,FALSE),I69)</f>
        <v>27.5</v>
      </c>
      <c r="K69" t="str">
        <f>INDEX('Entity Map'!$C:$C,MATCH(A69,'Entity Map'!$A:$A,0))</f>
        <v>DubCo</v>
      </c>
      <c r="L69" t="str">
        <f>INDEX('Entity Map'!$D:$D,MATCH(A69,'Entity Map'!$A:$A,0))</f>
        <v>CC-120</v>
      </c>
      <c r="M69">
        <f t="shared" si="20"/>
        <v>123332.13</v>
      </c>
      <c r="N69">
        <f t="shared" si="21"/>
        <v>30</v>
      </c>
      <c r="O69">
        <f t="shared" si="22"/>
        <v>30</v>
      </c>
      <c r="P69">
        <f t="shared" si="23"/>
        <v>123332.13</v>
      </c>
      <c r="Q69">
        <f>MAX(P69,'Fee Schedule'!$I$3)</f>
        <v>123332.13</v>
      </c>
      <c r="R69">
        <f>MIN(Q69,'Fee Schedule'!$I$4)</f>
        <v>123332.13</v>
      </c>
      <c r="S69">
        <f>IFERROR(R69*'Fee Schedule'!$I$5,0)</f>
        <v>3083.3032500000004</v>
      </c>
      <c r="T69">
        <f t="shared" si="24"/>
        <v>120248.83</v>
      </c>
      <c r="U69">
        <f>IFERROR(VLOOKUP(A69,Overrides!$A:$C,3,FALSE),T69)</f>
        <v>120248.83</v>
      </c>
      <c r="V69" t="str">
        <f t="shared" si="25"/>
        <v/>
      </c>
      <c r="W69" t="str">
        <f t="shared" si="26"/>
        <v>000-2026-11</v>
      </c>
      <c r="X69">
        <f>COUNTIFS(Positions!$A:$A,A69)</f>
        <v>2</v>
      </c>
      <c r="Y69">
        <f>SUM($U$19:U69)</f>
        <v>4409819.63</v>
      </c>
      <c r="Z69" t="str">
        <f>UPPER(TRIM(INDEX('Entity Map'!$E:$E,MATCH(A69,'Entity Map'!$A:$A,0))))</f>
        <v>FIXED INCOME</v>
      </c>
      <c r="AA69">
        <f>SUMIFS(Positions!$F:$F,Positions!$E:$E,Z69)</f>
        <v>2496645976.4000001</v>
      </c>
      <c r="AB69">
        <f t="shared" si="27"/>
        <v>1.7963319016366087E-2</v>
      </c>
      <c r="AC69">
        <f>SUMPRODUCT(Positions!$F$18:$F$185,--(Positions!$A$18:$A$185=A69))</f>
        <v>89696096.290000007</v>
      </c>
      <c r="AD69" t="str">
        <f t="shared" si="28"/>
        <v>A</v>
      </c>
      <c r="AE69">
        <f>COUNTIF('Entity Map'!$A:$A,A69)</f>
        <v>1</v>
      </c>
      <c r="AF69">
        <f>MAX(Positions!$C:$C)</f>
        <v>46354</v>
      </c>
      <c r="AG69">
        <f t="shared" si="29"/>
        <v>2026</v>
      </c>
      <c r="AH69">
        <f t="shared" si="30"/>
        <v>116604.93</v>
      </c>
      <c r="AI69">
        <f t="shared" si="31"/>
        <v>-3643.9000000000087</v>
      </c>
      <c r="AJ69">
        <f t="shared" si="32"/>
        <v>-3534.5830000000083</v>
      </c>
      <c r="AK69" t="str">
        <f t="shared" si="33"/>
        <v>00051 / -3534.58</v>
      </c>
    </row>
    <row r="70" spans="1:37" x14ac:dyDescent="0.35">
      <c r="A70" t="s">
        <v>127</v>
      </c>
      <c r="B70" t="str">
        <f>INDEX('Entity Map'!$B:$B,MATCH(A70,'Entity Map'!$A:$A,0))</f>
        <v>Client 052 Holdings</v>
      </c>
      <c r="C70">
        <f>INDEX('Entity Map'!$F:$F,MATCH(A70,'Entity Map'!$A:$A,0))</f>
        <v>45376</v>
      </c>
      <c r="D70">
        <f t="shared" si="18"/>
        <v>46327</v>
      </c>
      <c r="E70" t="str">
        <f t="shared" si="19"/>
        <v>2026-11</v>
      </c>
      <c r="F70">
        <f>AVERAGEIFS(Positions!$F:$F,Positions!$A:$A,A70)</f>
        <v>58386593.240000002</v>
      </c>
      <c r="G70">
        <f t="shared" si="34"/>
        <v>44848048.145000003</v>
      </c>
      <c r="H70">
        <f t="shared" si="35"/>
        <v>58386593.240000002</v>
      </c>
      <c r="I70">
        <f>VLOOKUP(F70,'Fee Schedule'!$D$5:$F$8,3,TRUE)</f>
        <v>18.5</v>
      </c>
      <c r="J70">
        <f>IFERROR(VLOOKUP(A70,'Fee Schedule'!$A$5:$B$21,2,FALSE),I70)</f>
        <v>18.5</v>
      </c>
      <c r="K70" t="str">
        <f>INDEX('Entity Map'!$C:$C,MATCH(A70,'Entity Map'!$A:$A,0))</f>
        <v>LuxCo</v>
      </c>
      <c r="L70" t="str">
        <f>INDEX('Entity Map'!$D:$D,MATCH(A70,'Entity Map'!$A:$A,0))</f>
        <v>CC-130</v>
      </c>
      <c r="M70">
        <f t="shared" si="20"/>
        <v>108015.2</v>
      </c>
      <c r="N70">
        <f t="shared" si="21"/>
        <v>30</v>
      </c>
      <c r="O70">
        <f t="shared" si="22"/>
        <v>30</v>
      </c>
      <c r="P70">
        <f t="shared" si="23"/>
        <v>108015.2</v>
      </c>
      <c r="Q70">
        <f>MAX(P70,'Fee Schedule'!$I$3)</f>
        <v>108015.2</v>
      </c>
      <c r="R70">
        <f>MIN(Q70,'Fee Schedule'!$I$4)</f>
        <v>108015.2</v>
      </c>
      <c r="S70">
        <f>IFERROR(R70*'Fee Schedule'!$I$5,0)</f>
        <v>2700.38</v>
      </c>
      <c r="T70">
        <f t="shared" si="24"/>
        <v>105314.82</v>
      </c>
      <c r="U70">
        <f>IFERROR(VLOOKUP(A70,Overrides!$A:$C,3,FALSE),T70)</f>
        <v>105314.82</v>
      </c>
      <c r="V70" t="str">
        <f t="shared" si="25"/>
        <v/>
      </c>
      <c r="W70" t="str">
        <f t="shared" si="26"/>
        <v>000-2026-11</v>
      </c>
      <c r="X70">
        <f>COUNTIFS(Positions!$A:$A,A70)</f>
        <v>2</v>
      </c>
      <c r="Y70">
        <f>SUM($U$19:U70)</f>
        <v>4515134.45</v>
      </c>
      <c r="Z70" t="str">
        <f>UPPER(TRIM(INDEX('Entity Map'!$E:$E,MATCH(A70,'Entity Map'!$A:$A,0))))</f>
        <v>BALANCED</v>
      </c>
      <c r="AA70">
        <f>SUMIFS(Positions!$F:$F,Positions!$E:$E,Z70)</f>
        <v>2420753390.7000003</v>
      </c>
      <c r="AB70">
        <f t="shared" si="27"/>
        <v>2.411918267441384E-2</v>
      </c>
      <c r="AC70">
        <f>SUMPRODUCT(Positions!$F$18:$F$185,--(Positions!$A$18:$A$185=A70))</f>
        <v>116773186.48</v>
      </c>
      <c r="AD70" t="str">
        <f t="shared" si="28"/>
        <v>A</v>
      </c>
      <c r="AE70">
        <f>COUNTIF('Entity Map'!$A:$A,A70)</f>
        <v>1</v>
      </c>
      <c r="AF70">
        <f>MAX(Positions!$C:$C)</f>
        <v>46354</v>
      </c>
      <c r="AG70">
        <f t="shared" si="29"/>
        <v>2026</v>
      </c>
      <c r="AH70">
        <f t="shared" si="30"/>
        <v>151805.14000000001</v>
      </c>
      <c r="AI70">
        <f t="shared" si="31"/>
        <v>46490.320000000007</v>
      </c>
      <c r="AJ70">
        <f t="shared" si="32"/>
        <v>45095.610400000005</v>
      </c>
      <c r="AK70" t="str">
        <f t="shared" si="33"/>
        <v>00052 / 45095.61</v>
      </c>
    </row>
    <row r="71" spans="1:37" x14ac:dyDescent="0.35">
      <c r="A71" t="s">
        <v>129</v>
      </c>
      <c r="B71" t="str">
        <f>INDEX('Entity Map'!$B:$B,MATCH(A71,'Entity Map'!$A:$A,0))</f>
        <v>Client 053 Holdings</v>
      </c>
      <c r="C71">
        <f>INDEX('Entity Map'!$F:$F,MATCH(A71,'Entity Map'!$A:$A,0))</f>
        <v>45377</v>
      </c>
      <c r="D71">
        <f t="shared" si="18"/>
        <v>46327</v>
      </c>
      <c r="E71" t="str">
        <f t="shared" si="19"/>
        <v>2026-11</v>
      </c>
      <c r="F71">
        <f>AVERAGEIFS(Positions!$F:$F,Positions!$A:$A,A71)</f>
        <v>30853658.735000003</v>
      </c>
      <c r="G71">
        <f t="shared" si="34"/>
        <v>58386593.240000002</v>
      </c>
      <c r="H71">
        <f t="shared" si="35"/>
        <v>30853658.735000003</v>
      </c>
      <c r="I71">
        <f>VLOOKUP(F71,'Fee Schedule'!$D$5:$F$8,3,TRUE)</f>
        <v>22</v>
      </c>
      <c r="J71">
        <f>IFERROR(VLOOKUP(A71,'Fee Schedule'!$A$5:$B$21,2,FALSE),I71)</f>
        <v>22</v>
      </c>
      <c r="K71" t="str">
        <f>INDEX('Entity Map'!$C:$C,MATCH(A71,'Entity Map'!$A:$A,0))</f>
        <v>UKCo</v>
      </c>
      <c r="L71" t="str">
        <f>INDEX('Entity Map'!$D:$D,MATCH(A71,'Entity Map'!$A:$A,0))</f>
        <v>CC-140</v>
      </c>
      <c r="M71">
        <f t="shared" si="20"/>
        <v>67878.05</v>
      </c>
      <c r="N71">
        <f t="shared" si="21"/>
        <v>30</v>
      </c>
      <c r="O71">
        <f t="shared" si="22"/>
        <v>30</v>
      </c>
      <c r="P71">
        <f t="shared" si="23"/>
        <v>67878.05</v>
      </c>
      <c r="Q71">
        <f>MAX(P71,'Fee Schedule'!$I$3)</f>
        <v>67878.05</v>
      </c>
      <c r="R71">
        <f>MIN(Q71,'Fee Schedule'!$I$4)</f>
        <v>67878.05</v>
      </c>
      <c r="S71">
        <f>IFERROR(R71*'Fee Schedule'!$I$5,0)</f>
        <v>1696.9512500000001</v>
      </c>
      <c r="T71">
        <f t="shared" si="24"/>
        <v>66181.100000000006</v>
      </c>
      <c r="U71">
        <f>IFERROR(VLOOKUP(A71,Overrides!$A:$C,3,FALSE),T71)</f>
        <v>66181.100000000006</v>
      </c>
      <c r="V71" t="str">
        <f t="shared" si="25"/>
        <v/>
      </c>
      <c r="W71" t="str">
        <f t="shared" si="26"/>
        <v>000-2026-11</v>
      </c>
      <c r="X71">
        <f>COUNTIFS(Positions!$A:$A,A71)</f>
        <v>2</v>
      </c>
      <c r="Y71">
        <f>SUM($U$19:U71)</f>
        <v>4581315.55</v>
      </c>
      <c r="Z71" t="str">
        <f>UPPER(TRIM(INDEX('Entity Map'!$E:$E,MATCH(A71,'Entity Map'!$A:$A,0))))</f>
        <v>EQUITY</v>
      </c>
      <c r="AA71">
        <f>SUMIFS(Positions!$F:$F,Positions!$E:$E,Z71)</f>
        <v>2806311623.6099992</v>
      </c>
      <c r="AB71">
        <f t="shared" si="27"/>
        <v>1.0994380836191775E-2</v>
      </c>
      <c r="AC71">
        <f>SUMPRODUCT(Positions!$F$18:$F$185,--(Positions!$A$18:$A$185=A71))</f>
        <v>61707317.470000006</v>
      </c>
      <c r="AD71" t="str">
        <f t="shared" si="28"/>
        <v>A</v>
      </c>
      <c r="AE71">
        <f>COUNTIF('Entity Map'!$A:$A,A71)</f>
        <v>1</v>
      </c>
      <c r="AF71">
        <f>MAX(Positions!$C:$C)</f>
        <v>46354</v>
      </c>
      <c r="AG71">
        <f t="shared" si="29"/>
        <v>2026</v>
      </c>
      <c r="AH71">
        <f t="shared" si="30"/>
        <v>80219.509999999995</v>
      </c>
      <c r="AI71">
        <f t="shared" si="31"/>
        <v>14038.409999999989</v>
      </c>
      <c r="AJ71">
        <f t="shared" si="32"/>
        <v>13617.257699999989</v>
      </c>
      <c r="AK71" t="str">
        <f t="shared" si="33"/>
        <v>00053 / 13617.26</v>
      </c>
    </row>
    <row r="72" spans="1:37" x14ac:dyDescent="0.35">
      <c r="A72" t="s">
        <v>131</v>
      </c>
      <c r="B72" t="str">
        <f>INDEX('Entity Map'!$B:$B,MATCH(A72,'Entity Map'!$A:$A,0))</f>
        <v>Client 054 Holdings</v>
      </c>
      <c r="C72">
        <f>INDEX('Entity Map'!$F:$F,MATCH(A72,'Entity Map'!$A:$A,0))</f>
        <v>45378</v>
      </c>
      <c r="D72">
        <f t="shared" si="18"/>
        <v>46327</v>
      </c>
      <c r="E72" t="str">
        <f t="shared" si="19"/>
        <v>2026-11</v>
      </c>
      <c r="F72">
        <f>AVERAGEIFS(Positions!$F:$F,Positions!$A:$A,A72)</f>
        <v>52237255.215000004</v>
      </c>
      <c r="G72">
        <f t="shared" si="34"/>
        <v>30853658.735000003</v>
      </c>
      <c r="H72">
        <f t="shared" si="35"/>
        <v>52237255.215000004</v>
      </c>
      <c r="I72">
        <f>VLOOKUP(F72,'Fee Schedule'!$D$5:$F$8,3,TRUE)</f>
        <v>18.5</v>
      </c>
      <c r="J72">
        <f>IFERROR(VLOOKUP(A72,'Fee Schedule'!$A$5:$B$21,2,FALSE),I72)</f>
        <v>18.5</v>
      </c>
      <c r="K72" t="str">
        <f>INDEX('Entity Map'!$C:$C,MATCH(A72,'Entity Map'!$A:$A,0))</f>
        <v>DubCo</v>
      </c>
      <c r="L72" t="str">
        <f>INDEX('Entity Map'!$D:$D,MATCH(A72,'Entity Map'!$A:$A,0))</f>
        <v>CC-150</v>
      </c>
      <c r="M72">
        <f t="shared" si="20"/>
        <v>96638.92</v>
      </c>
      <c r="N72">
        <f t="shared" si="21"/>
        <v>30</v>
      </c>
      <c r="O72">
        <f t="shared" si="22"/>
        <v>30</v>
      </c>
      <c r="P72">
        <f t="shared" si="23"/>
        <v>96638.92</v>
      </c>
      <c r="Q72">
        <f>MAX(P72,'Fee Schedule'!$I$3)</f>
        <v>96638.92</v>
      </c>
      <c r="R72">
        <f>MIN(Q72,'Fee Schedule'!$I$4)</f>
        <v>96638.92</v>
      </c>
      <c r="S72">
        <f>IFERROR(R72*'Fee Schedule'!$I$5,0)</f>
        <v>2415.973</v>
      </c>
      <c r="T72">
        <f t="shared" si="24"/>
        <v>94222.95</v>
      </c>
      <c r="U72">
        <f>IFERROR(VLOOKUP(A72,Overrides!$A:$C,3,FALSE),T72)</f>
        <v>94222.95</v>
      </c>
      <c r="V72" t="str">
        <f t="shared" si="25"/>
        <v/>
      </c>
      <c r="W72" t="str">
        <f t="shared" si="26"/>
        <v>000-2026-11</v>
      </c>
      <c r="X72">
        <f>COUNTIFS(Positions!$A:$A,A72)</f>
        <v>2</v>
      </c>
      <c r="Y72">
        <f>SUM($U$19:U72)</f>
        <v>4675538.5</v>
      </c>
      <c r="Z72" t="str">
        <f>UPPER(TRIM(INDEX('Entity Map'!$E:$E,MATCH(A72,'Entity Map'!$A:$A,0))))</f>
        <v>FIXED INCOME</v>
      </c>
      <c r="AA72">
        <f>SUMIFS(Positions!$F:$F,Positions!$E:$E,Z72)</f>
        <v>2496645976.4000001</v>
      </c>
      <c r="AB72">
        <f t="shared" si="27"/>
        <v>2.0922972543477192E-2</v>
      </c>
      <c r="AC72">
        <f>SUMPRODUCT(Positions!$F$18:$F$185,--(Positions!$A$18:$A$185=A72))</f>
        <v>104474510.43000001</v>
      </c>
      <c r="AD72" t="str">
        <f t="shared" si="28"/>
        <v>A</v>
      </c>
      <c r="AE72">
        <f>COUNTIF('Entity Map'!$A:$A,A72)</f>
        <v>1</v>
      </c>
      <c r="AF72">
        <f>MAX(Positions!$C:$C)</f>
        <v>46354</v>
      </c>
      <c r="AG72">
        <f t="shared" si="29"/>
        <v>2026</v>
      </c>
      <c r="AH72">
        <f t="shared" si="30"/>
        <v>135816.85999999999</v>
      </c>
      <c r="AI72">
        <f t="shared" si="31"/>
        <v>41593.909999999989</v>
      </c>
      <c r="AJ72">
        <f t="shared" si="32"/>
        <v>40346.092699999987</v>
      </c>
      <c r="AK72" t="str">
        <f t="shared" si="33"/>
        <v>00054 / 40346.09</v>
      </c>
    </row>
    <row r="73" spans="1:37" x14ac:dyDescent="0.35">
      <c r="A73" t="s">
        <v>133</v>
      </c>
      <c r="B73" t="str">
        <f>INDEX('Entity Map'!$B:$B,MATCH(A73,'Entity Map'!$A:$A,0))</f>
        <v>Client 055 Holdings</v>
      </c>
      <c r="C73">
        <f>INDEX('Entity Map'!$F:$F,MATCH(A73,'Entity Map'!$A:$A,0))</f>
        <v>45352</v>
      </c>
      <c r="D73">
        <f t="shared" si="18"/>
        <v>46327</v>
      </c>
      <c r="E73" t="str">
        <f t="shared" si="19"/>
        <v>2026-11</v>
      </c>
      <c r="F73">
        <f>AVERAGEIFS(Positions!$F:$F,Positions!$A:$A,A73)</f>
        <v>76422190.474999994</v>
      </c>
      <c r="G73">
        <f t="shared" si="34"/>
        <v>52237255.215000004</v>
      </c>
      <c r="H73">
        <f t="shared" si="35"/>
        <v>76422190.474999994</v>
      </c>
      <c r="I73">
        <f>VLOOKUP(F73,'Fee Schedule'!$D$5:$F$8,3,TRUE)</f>
        <v>18.5</v>
      </c>
      <c r="J73">
        <f>IFERROR(VLOOKUP(A73,'Fee Schedule'!$A$5:$B$21,2,FALSE),I73)</f>
        <v>18.5</v>
      </c>
      <c r="K73" t="str">
        <f>INDEX('Entity Map'!$C:$C,MATCH(A73,'Entity Map'!$A:$A,0))</f>
        <v>LuxCo</v>
      </c>
      <c r="L73" t="str">
        <f>INDEX('Entity Map'!$D:$D,MATCH(A73,'Entity Map'!$A:$A,0))</f>
        <v>CC-100</v>
      </c>
      <c r="M73">
        <f t="shared" si="20"/>
        <v>141381.04999999999</v>
      </c>
      <c r="N73">
        <f t="shared" si="21"/>
        <v>30</v>
      </c>
      <c r="O73">
        <f t="shared" si="22"/>
        <v>30</v>
      </c>
      <c r="P73">
        <f t="shared" si="23"/>
        <v>141381.04999999999</v>
      </c>
      <c r="Q73">
        <f>MAX(P73,'Fee Schedule'!$I$3)</f>
        <v>141381.04999999999</v>
      </c>
      <c r="R73">
        <f>MIN(Q73,'Fee Schedule'!$I$4)</f>
        <v>141381.04999999999</v>
      </c>
      <c r="S73">
        <f>IFERROR(R73*'Fee Schedule'!$I$5,0)</f>
        <v>3534.5262499999999</v>
      </c>
      <c r="T73">
        <f t="shared" si="24"/>
        <v>137846.51999999999</v>
      </c>
      <c r="U73">
        <f>IFERROR(VLOOKUP(A73,Overrides!$A:$C,3,FALSE),T73)</f>
        <v>137846.51999999999</v>
      </c>
      <c r="V73" t="str">
        <f t="shared" si="25"/>
        <v/>
      </c>
      <c r="W73" t="str">
        <f t="shared" si="26"/>
        <v>000-2026-11</v>
      </c>
      <c r="X73">
        <f>COUNTIFS(Positions!$A:$A,A73)</f>
        <v>2</v>
      </c>
      <c r="Y73">
        <f>SUM($U$19:U73)</f>
        <v>4813385.0199999996</v>
      </c>
      <c r="Z73" t="str">
        <f>UPPER(TRIM(INDEX('Entity Map'!$E:$E,MATCH(A73,'Entity Map'!$A:$A,0))))</f>
        <v>BALANCED</v>
      </c>
      <c r="AA73">
        <f>SUMIFS(Positions!$F:$F,Positions!$E:$E,Z73)</f>
        <v>2420753390.7000003</v>
      </c>
      <c r="AB73">
        <f t="shared" si="27"/>
        <v>3.1569589355362332E-2</v>
      </c>
      <c r="AC73">
        <f>SUMPRODUCT(Positions!$F$18:$F$185,--(Positions!$A$18:$A$185=A73))</f>
        <v>152844380.94999999</v>
      </c>
      <c r="AD73" t="str">
        <f t="shared" si="28"/>
        <v>A</v>
      </c>
      <c r="AE73">
        <f>COUNTIF('Entity Map'!$A:$A,A73)</f>
        <v>1</v>
      </c>
      <c r="AF73">
        <f>MAX(Positions!$C:$C)</f>
        <v>46354</v>
      </c>
      <c r="AG73">
        <f t="shared" si="29"/>
        <v>2026</v>
      </c>
      <c r="AH73">
        <f t="shared" si="30"/>
        <v>198697.7</v>
      </c>
      <c r="AI73">
        <f t="shared" si="31"/>
        <v>60851.180000000022</v>
      </c>
      <c r="AJ73">
        <f t="shared" si="32"/>
        <v>59025.644600000021</v>
      </c>
      <c r="AK73" t="str">
        <f t="shared" si="33"/>
        <v>00055 / 59025.64</v>
      </c>
    </row>
    <row r="74" spans="1:37" x14ac:dyDescent="0.35">
      <c r="A74" t="s">
        <v>135</v>
      </c>
      <c r="B74" t="str">
        <f>INDEX('Entity Map'!$B:$B,MATCH(A74,'Entity Map'!$A:$A,0))</f>
        <v>Client 056 Holdings</v>
      </c>
      <c r="C74">
        <f>INDEX('Entity Map'!$F:$F,MATCH(A74,'Entity Map'!$A:$A,0))</f>
        <v>45353</v>
      </c>
      <c r="D74">
        <f t="shared" si="18"/>
        <v>46327</v>
      </c>
      <c r="E74" t="str">
        <f t="shared" si="19"/>
        <v>2026-11</v>
      </c>
      <c r="F74">
        <f>AVERAGEIFS(Positions!$F:$F,Positions!$A:$A,A74)</f>
        <v>63333334.299999997</v>
      </c>
      <c r="G74">
        <f t="shared" si="34"/>
        <v>76422190.474999994</v>
      </c>
      <c r="H74">
        <f t="shared" si="35"/>
        <v>63333334.299999997</v>
      </c>
      <c r="I74">
        <f>VLOOKUP(F74,'Fee Schedule'!$D$5:$F$8,3,TRUE)</f>
        <v>18.5</v>
      </c>
      <c r="J74" t="str">
        <f>IFERROR(VLOOKUP(A74,'Fee Schedule'!$A$5:$B$21,2,FALSE),I74)</f>
        <v>21.5</v>
      </c>
      <c r="K74" t="str">
        <f>INDEX('Entity Map'!$C:$C,MATCH(A74,'Entity Map'!$A:$A,0))</f>
        <v>UKCo</v>
      </c>
      <c r="L74" t="str">
        <f>INDEX('Entity Map'!$D:$D,MATCH(A74,'Entity Map'!$A:$A,0))</f>
        <v>CC-110</v>
      </c>
      <c r="M74">
        <f t="shared" si="20"/>
        <v>136166.67000000001</v>
      </c>
      <c r="N74">
        <f t="shared" si="21"/>
        <v>30</v>
      </c>
      <c r="O74">
        <f t="shared" si="22"/>
        <v>30</v>
      </c>
      <c r="P74">
        <f t="shared" si="23"/>
        <v>136166.67000000001</v>
      </c>
      <c r="Q74">
        <f>MAX(P74,'Fee Schedule'!$I$3)</f>
        <v>136166.67000000001</v>
      </c>
      <c r="R74">
        <f>MIN(Q74,'Fee Schedule'!$I$4)</f>
        <v>136166.67000000001</v>
      </c>
      <c r="S74">
        <f>IFERROR(R74*'Fee Schedule'!$I$5,0)</f>
        <v>3404.1667500000003</v>
      </c>
      <c r="T74">
        <f t="shared" si="24"/>
        <v>132762.5</v>
      </c>
      <c r="U74">
        <f>IFERROR(VLOOKUP(A74,Overrides!$A:$C,3,FALSE),T74)</f>
        <v>132762.5</v>
      </c>
      <c r="V74" t="str">
        <f t="shared" si="25"/>
        <v/>
      </c>
      <c r="W74" t="str">
        <f t="shared" si="26"/>
        <v>000-2026-11</v>
      </c>
      <c r="X74">
        <f>COUNTIFS(Positions!$A:$A,A74)</f>
        <v>2</v>
      </c>
      <c r="Y74">
        <f>SUM($U$19:U74)</f>
        <v>4946147.5199999996</v>
      </c>
      <c r="Z74" t="str">
        <f>UPPER(TRIM(INDEX('Entity Map'!$E:$E,MATCH(A74,'Entity Map'!$A:$A,0))))</f>
        <v>EQUITY</v>
      </c>
      <c r="AA74">
        <f>SUMIFS(Positions!$F:$F,Positions!$E:$E,Z74)</f>
        <v>2806311623.6099992</v>
      </c>
      <c r="AB74">
        <f t="shared" si="27"/>
        <v>2.2568175881525553E-2</v>
      </c>
      <c r="AC74">
        <f>SUMPRODUCT(Positions!$F$18:$F$185,--(Positions!$A$18:$A$185=A74))</f>
        <v>126666668.59999999</v>
      </c>
      <c r="AD74" t="str">
        <f t="shared" si="28"/>
        <v>A</v>
      </c>
      <c r="AE74">
        <f>COUNTIF('Entity Map'!$A:$A,A74)</f>
        <v>1</v>
      </c>
      <c r="AF74">
        <f>MAX(Positions!$C:$C)</f>
        <v>46354</v>
      </c>
      <c r="AG74">
        <f t="shared" si="29"/>
        <v>2026</v>
      </c>
      <c r="AH74">
        <f t="shared" si="30"/>
        <v>164666.67000000001</v>
      </c>
      <c r="AI74">
        <f t="shared" si="31"/>
        <v>31904.170000000013</v>
      </c>
      <c r="AJ74">
        <f t="shared" si="32"/>
        <v>30947.044900000012</v>
      </c>
      <c r="AK74" t="str">
        <f t="shared" si="33"/>
        <v>00056 / 30947.04</v>
      </c>
    </row>
    <row r="75" spans="1:37" x14ac:dyDescent="0.35">
      <c r="A75" t="s">
        <v>137</v>
      </c>
      <c r="B75" t="str">
        <f>INDEX('Entity Map'!$B:$B,MATCH(A75,'Entity Map'!$A:$A,0))</f>
        <v>Client 057 Holdings</v>
      </c>
      <c r="C75">
        <f>INDEX('Entity Map'!$F:$F,MATCH(A75,'Entity Map'!$A:$A,0))</f>
        <v>45354</v>
      </c>
      <c r="D75">
        <f t="shared" si="18"/>
        <v>46327</v>
      </c>
      <c r="E75" t="str">
        <f t="shared" si="19"/>
        <v>2026-11</v>
      </c>
      <c r="F75">
        <f>AVERAGEIFS(Positions!$F:$F,Positions!$A:$A,A75)</f>
        <v>55125211.805</v>
      </c>
      <c r="G75">
        <f t="shared" si="34"/>
        <v>63333334.299999997</v>
      </c>
      <c r="H75">
        <f t="shared" si="35"/>
        <v>55125211.805</v>
      </c>
      <c r="I75">
        <f>VLOOKUP(F75,'Fee Schedule'!$D$5:$F$8,3,TRUE)</f>
        <v>18.5</v>
      </c>
      <c r="J75">
        <f>IFERROR(VLOOKUP(A75,'Fee Schedule'!$A$5:$B$21,2,FALSE),I75)</f>
        <v>18.5</v>
      </c>
      <c r="K75" t="str">
        <f>INDEX('Entity Map'!$C:$C,MATCH(A75,'Entity Map'!$A:$A,0))</f>
        <v>DubCo</v>
      </c>
      <c r="L75" t="str">
        <f>INDEX('Entity Map'!$D:$D,MATCH(A75,'Entity Map'!$A:$A,0))</f>
        <v>CC-120</v>
      </c>
      <c r="M75">
        <f t="shared" si="20"/>
        <v>101981.64</v>
      </c>
      <c r="N75">
        <f t="shared" si="21"/>
        <v>30</v>
      </c>
      <c r="O75">
        <f t="shared" si="22"/>
        <v>30</v>
      </c>
      <c r="P75">
        <f t="shared" si="23"/>
        <v>101981.64</v>
      </c>
      <c r="Q75">
        <f>MAX(P75,'Fee Schedule'!$I$3)</f>
        <v>101981.64</v>
      </c>
      <c r="R75">
        <f>MIN(Q75,'Fee Schedule'!$I$4)</f>
        <v>101981.64</v>
      </c>
      <c r="S75">
        <f>IFERROR(R75*'Fee Schedule'!$I$5,0)</f>
        <v>2549.5410000000002</v>
      </c>
      <c r="T75">
        <f t="shared" si="24"/>
        <v>99432.1</v>
      </c>
      <c r="U75">
        <f>IFERROR(VLOOKUP(A75,Overrides!$A:$C,3,FALSE),T75)</f>
        <v>99432.1</v>
      </c>
      <c r="V75" t="str">
        <f t="shared" si="25"/>
        <v/>
      </c>
      <c r="W75" t="str">
        <f t="shared" si="26"/>
        <v>000-2026-11</v>
      </c>
      <c r="X75">
        <f>COUNTIFS(Positions!$A:$A,A75)</f>
        <v>2</v>
      </c>
      <c r="Y75">
        <f>SUM($U$19:U75)</f>
        <v>5045579.62</v>
      </c>
      <c r="Z75" t="str">
        <f>UPPER(TRIM(INDEX('Entity Map'!$E:$E,MATCH(A75,'Entity Map'!$A:$A,0))))</f>
        <v>FIXED INCOME</v>
      </c>
      <c r="AA75">
        <f>SUMIFS(Positions!$F:$F,Positions!$E:$E,Z75)</f>
        <v>2496645976.4000001</v>
      </c>
      <c r="AB75">
        <f t="shared" si="27"/>
        <v>2.2079707065431418E-2</v>
      </c>
      <c r="AC75">
        <f>SUMPRODUCT(Positions!$F$18:$F$185,--(Positions!$A$18:$A$185=A75))</f>
        <v>110250423.61</v>
      </c>
      <c r="AD75" t="str">
        <f t="shared" si="28"/>
        <v>A</v>
      </c>
      <c r="AE75">
        <f>COUNTIF('Entity Map'!$A:$A,A75)</f>
        <v>1</v>
      </c>
      <c r="AF75">
        <f>MAX(Positions!$C:$C)</f>
        <v>46354</v>
      </c>
      <c r="AG75">
        <f t="shared" si="29"/>
        <v>2026</v>
      </c>
      <c r="AH75">
        <f t="shared" si="30"/>
        <v>143325.54999999999</v>
      </c>
      <c r="AI75">
        <f t="shared" si="31"/>
        <v>43893.449999999983</v>
      </c>
      <c r="AJ75">
        <f t="shared" si="32"/>
        <v>42576.646499999981</v>
      </c>
      <c r="AK75" t="str">
        <f t="shared" si="33"/>
        <v>00057 / 42576.65</v>
      </c>
    </row>
    <row r="76" spans="1:37" x14ac:dyDescent="0.35">
      <c r="A76" t="s">
        <v>139</v>
      </c>
      <c r="B76" t="str">
        <f>INDEX('Entity Map'!$B:$B,MATCH(A76,'Entity Map'!$A:$A,0))</f>
        <v>Client 058 Holdings</v>
      </c>
      <c r="C76">
        <f>INDEX('Entity Map'!$F:$F,MATCH(A76,'Entity Map'!$A:$A,0))</f>
        <v>45355</v>
      </c>
      <c r="D76">
        <f t="shared" si="18"/>
        <v>46327</v>
      </c>
      <c r="E76" t="str">
        <f t="shared" si="19"/>
        <v>2026-11</v>
      </c>
      <c r="F76">
        <f>AVERAGEIFS(Positions!$F:$F,Positions!$A:$A,A76)</f>
        <v>49059500.635000005</v>
      </c>
      <c r="G76">
        <f t="shared" si="34"/>
        <v>55125211.805</v>
      </c>
      <c r="H76">
        <f t="shared" si="35"/>
        <v>49059500.635000005</v>
      </c>
      <c r="I76">
        <f>VLOOKUP(F76,'Fee Schedule'!$D$5:$F$8,3,TRUE)</f>
        <v>22</v>
      </c>
      <c r="J76">
        <f>IFERROR(VLOOKUP(A76,'Fee Schedule'!$A$5:$B$21,2,FALSE),I76)</f>
        <v>22</v>
      </c>
      <c r="K76" t="str">
        <f>INDEX('Entity Map'!$C:$C,MATCH(A76,'Entity Map'!$A:$A,0))</f>
        <v>LuxCo</v>
      </c>
      <c r="L76" t="str">
        <f>INDEX('Entity Map'!$D:$D,MATCH(A76,'Entity Map'!$A:$A,0))</f>
        <v>CC-130</v>
      </c>
      <c r="M76">
        <f t="shared" si="20"/>
        <v>107930.9</v>
      </c>
      <c r="N76">
        <f t="shared" si="21"/>
        <v>30</v>
      </c>
      <c r="O76">
        <f t="shared" si="22"/>
        <v>30</v>
      </c>
      <c r="P76">
        <f t="shared" si="23"/>
        <v>107930.9</v>
      </c>
      <c r="Q76">
        <f>MAX(P76,'Fee Schedule'!$I$3)</f>
        <v>107930.9</v>
      </c>
      <c r="R76">
        <f>MIN(Q76,'Fee Schedule'!$I$4)</f>
        <v>107930.9</v>
      </c>
      <c r="S76">
        <f>IFERROR(R76*'Fee Schedule'!$I$5,0)</f>
        <v>2698.2725</v>
      </c>
      <c r="T76">
        <f t="shared" si="24"/>
        <v>105232.63</v>
      </c>
      <c r="U76">
        <f>IFERROR(VLOOKUP(A76,Overrides!$A:$C,3,FALSE),T76)</f>
        <v>105232.63</v>
      </c>
      <c r="V76" t="str">
        <f t="shared" si="25"/>
        <v/>
      </c>
      <c r="W76" t="str">
        <f t="shared" si="26"/>
        <v>000-2026-11</v>
      </c>
      <c r="X76">
        <f>COUNTIFS(Positions!$A:$A,A76)</f>
        <v>2</v>
      </c>
      <c r="Y76">
        <f>SUM($U$19:U76)</f>
        <v>5150812.25</v>
      </c>
      <c r="Z76" t="str">
        <f>UPPER(TRIM(INDEX('Entity Map'!$E:$E,MATCH(A76,'Entity Map'!$A:$A,0))))</f>
        <v>BALANCED</v>
      </c>
      <c r="AA76">
        <f>SUMIFS(Positions!$F:$F,Positions!$E:$E,Z76)</f>
        <v>2420753390.7000003</v>
      </c>
      <c r="AB76">
        <f t="shared" si="27"/>
        <v>2.0266211677519803E-2</v>
      </c>
      <c r="AC76">
        <f>SUMPRODUCT(Positions!$F$18:$F$185,--(Positions!$A$18:$A$185=A76))</f>
        <v>98119001.270000011</v>
      </c>
      <c r="AD76" t="str">
        <f t="shared" si="28"/>
        <v>A</v>
      </c>
      <c r="AE76">
        <f>COUNTIF('Entity Map'!$A:$A,A76)</f>
        <v>1</v>
      </c>
      <c r="AF76">
        <f>MAX(Positions!$C:$C)</f>
        <v>46354</v>
      </c>
      <c r="AG76">
        <f t="shared" si="29"/>
        <v>2026</v>
      </c>
      <c r="AH76">
        <f t="shared" si="30"/>
        <v>127554.7</v>
      </c>
      <c r="AI76">
        <f t="shared" si="31"/>
        <v>22322.069999999992</v>
      </c>
      <c r="AJ76">
        <f t="shared" si="32"/>
        <v>21652.407899999991</v>
      </c>
      <c r="AK76" t="str">
        <f t="shared" si="33"/>
        <v>00058 / 21652.41</v>
      </c>
    </row>
    <row r="77" spans="1:37" x14ac:dyDescent="0.35">
      <c r="A77" t="s">
        <v>141</v>
      </c>
      <c r="B77" t="str">
        <f>INDEX('Entity Map'!$B:$B,MATCH(A77,'Entity Map'!$A:$A,0))</f>
        <v>Client 059 Holdings</v>
      </c>
      <c r="C77">
        <f>INDEX('Entity Map'!$F:$F,MATCH(A77,'Entity Map'!$A:$A,0))</f>
        <v>46332</v>
      </c>
      <c r="D77">
        <f t="shared" si="18"/>
        <v>46332</v>
      </c>
      <c r="E77" t="str">
        <f t="shared" si="19"/>
        <v>2026-11</v>
      </c>
      <c r="F77">
        <f>AVERAGEIFS(Positions!$F:$F,Positions!$A:$A,A77)</f>
        <v>52532288.984999999</v>
      </c>
      <c r="G77">
        <f t="shared" si="34"/>
        <v>49059500.635000005</v>
      </c>
      <c r="H77">
        <f t="shared" si="35"/>
        <v>52532288.984999999</v>
      </c>
      <c r="I77">
        <f>VLOOKUP(F77,'Fee Schedule'!$D$5:$F$8,3,TRUE)</f>
        <v>18.5</v>
      </c>
      <c r="J77">
        <f>IFERROR(VLOOKUP(A77,'Fee Schedule'!$A$5:$B$21,2,FALSE),I77)</f>
        <v>18.5</v>
      </c>
      <c r="K77" t="str">
        <f>INDEX('Entity Map'!$C:$C,MATCH(A77,'Entity Map'!$A:$A,0))</f>
        <v>UKCo</v>
      </c>
      <c r="L77" t="str">
        <f>INDEX('Entity Map'!$D:$D,MATCH(A77,'Entity Map'!$A:$A,0))</f>
        <v>CC-140</v>
      </c>
      <c r="M77">
        <f t="shared" si="20"/>
        <v>97184.73</v>
      </c>
      <c r="N77">
        <f t="shared" si="21"/>
        <v>30</v>
      </c>
      <c r="O77">
        <f t="shared" si="22"/>
        <v>25</v>
      </c>
      <c r="P77">
        <f t="shared" si="23"/>
        <v>80987.28</v>
      </c>
      <c r="Q77">
        <f>MAX(P77,'Fee Schedule'!$I$3)</f>
        <v>80987.28</v>
      </c>
      <c r="R77">
        <f>MIN(Q77,'Fee Schedule'!$I$4)</f>
        <v>80987.28</v>
      </c>
      <c r="S77">
        <f>IFERROR(R77*'Fee Schedule'!$I$5,0)</f>
        <v>2024.682</v>
      </c>
      <c r="T77">
        <f t="shared" si="24"/>
        <v>78962.600000000006</v>
      </c>
      <c r="U77">
        <f>IFERROR(VLOOKUP(A77,Overrides!$A:$C,3,FALSE),T77)</f>
        <v>78962.600000000006</v>
      </c>
      <c r="V77" t="str">
        <f t="shared" si="25"/>
        <v/>
      </c>
      <c r="W77" t="str">
        <f t="shared" si="26"/>
        <v>000-2026-11</v>
      </c>
      <c r="X77">
        <f>COUNTIFS(Positions!$A:$A,A77)</f>
        <v>2</v>
      </c>
      <c r="Y77">
        <f>SUM($U$19:U77)</f>
        <v>5229774.8499999996</v>
      </c>
      <c r="Z77" t="str">
        <f>UPPER(TRIM(INDEX('Entity Map'!$E:$E,MATCH(A77,'Entity Map'!$A:$A,0))))</f>
        <v>EQUITY</v>
      </c>
      <c r="AA77">
        <f>SUMIFS(Positions!$F:$F,Positions!$E:$E,Z77)</f>
        <v>2806311623.6099992</v>
      </c>
      <c r="AB77">
        <f t="shared" si="27"/>
        <v>1.8719335565956577E-2</v>
      </c>
      <c r="AC77">
        <f>SUMPRODUCT(Positions!$F$18:$F$185,--(Positions!$A$18:$A$185=A77))</f>
        <v>105064577.97</v>
      </c>
      <c r="AD77" t="str">
        <f t="shared" si="28"/>
        <v>A</v>
      </c>
      <c r="AE77">
        <f>COUNTIF('Entity Map'!$A:$A,A77)</f>
        <v>1</v>
      </c>
      <c r="AF77">
        <f>MAX(Positions!$C:$C)</f>
        <v>46354</v>
      </c>
      <c r="AG77">
        <f t="shared" si="29"/>
        <v>2026</v>
      </c>
      <c r="AH77">
        <f t="shared" si="30"/>
        <v>136583.95000000001</v>
      </c>
      <c r="AI77">
        <f t="shared" si="31"/>
        <v>57621.350000000006</v>
      </c>
      <c r="AJ77">
        <f t="shared" si="32"/>
        <v>55892.709500000004</v>
      </c>
      <c r="AK77" t="str">
        <f t="shared" si="33"/>
        <v>00059 / 55892.71</v>
      </c>
    </row>
    <row r="78" spans="1:37" x14ac:dyDescent="0.35">
      <c r="A78" t="s">
        <v>143</v>
      </c>
      <c r="B78" t="str">
        <f>INDEX('Entity Map'!$B:$B,MATCH(A78,'Entity Map'!$A:$A,0))</f>
        <v>Client 060 Holdings</v>
      </c>
      <c r="C78">
        <f>INDEX('Entity Map'!$F:$F,MATCH(A78,'Entity Map'!$A:$A,0))</f>
        <v>45357</v>
      </c>
      <c r="D78">
        <f t="shared" si="18"/>
        <v>46327</v>
      </c>
      <c r="E78" t="str">
        <f t="shared" si="19"/>
        <v>2026-11</v>
      </c>
      <c r="F78">
        <f>AVERAGEIFS(Positions!$F:$F,Positions!$A:$A,A78)</f>
        <v>54059087.984999999</v>
      </c>
      <c r="G78">
        <f t="shared" si="34"/>
        <v>52532288.984999999</v>
      </c>
      <c r="H78">
        <f t="shared" si="35"/>
        <v>54059087.984999999</v>
      </c>
      <c r="I78">
        <f>VLOOKUP(F78,'Fee Schedule'!$D$5:$F$8,3,TRUE)</f>
        <v>18.5</v>
      </c>
      <c r="J78">
        <f>IFERROR(VLOOKUP(A78,'Fee Schedule'!$A$5:$B$21,2,FALSE),I78)</f>
        <v>18.5</v>
      </c>
      <c r="K78" t="str">
        <f>INDEX('Entity Map'!$C:$C,MATCH(A78,'Entity Map'!$A:$A,0))</f>
        <v>DubCo</v>
      </c>
      <c r="L78" t="str">
        <f>INDEX('Entity Map'!$D:$D,MATCH(A78,'Entity Map'!$A:$A,0))</f>
        <v>CC-150</v>
      </c>
      <c r="M78">
        <f t="shared" si="20"/>
        <v>100009.31</v>
      </c>
      <c r="N78">
        <f t="shared" si="21"/>
        <v>30</v>
      </c>
      <c r="O78">
        <f t="shared" si="22"/>
        <v>30</v>
      </c>
      <c r="P78">
        <f t="shared" si="23"/>
        <v>100009.31</v>
      </c>
      <c r="Q78">
        <f>MAX(P78,'Fee Schedule'!$I$3)</f>
        <v>100009.31</v>
      </c>
      <c r="R78">
        <f>MIN(Q78,'Fee Schedule'!$I$4)</f>
        <v>100009.31</v>
      </c>
      <c r="S78">
        <f>IFERROR(R78*'Fee Schedule'!$I$5,0)</f>
        <v>2500.2327500000001</v>
      </c>
      <c r="T78">
        <f t="shared" si="24"/>
        <v>97509.08</v>
      </c>
      <c r="U78">
        <f>IFERROR(VLOOKUP(A78,Overrides!$A:$C,3,FALSE),T78)</f>
        <v>97509.08</v>
      </c>
      <c r="V78" t="str">
        <f t="shared" si="25"/>
        <v/>
      </c>
      <c r="W78" t="str">
        <f t="shared" si="26"/>
        <v>000-2026-11</v>
      </c>
      <c r="X78">
        <f>COUNTIFS(Positions!$A:$A,A78)</f>
        <v>2</v>
      </c>
      <c r="Y78">
        <f>SUM($U$19:U78)</f>
        <v>5327283.93</v>
      </c>
      <c r="Z78" t="str">
        <f>UPPER(TRIM(INDEX('Entity Map'!$E:$E,MATCH(A78,'Entity Map'!$A:$A,0))))</f>
        <v>FIXED INCOME</v>
      </c>
      <c r="AA78">
        <f>SUMIFS(Positions!$F:$F,Positions!$E:$E,Z78)</f>
        <v>2496645976.4000001</v>
      </c>
      <c r="AB78">
        <f t="shared" si="27"/>
        <v>2.1652684640114519E-2</v>
      </c>
      <c r="AC78">
        <f>SUMPRODUCT(Positions!$F$18:$F$185,--(Positions!$A$18:$A$185=A78))</f>
        <v>108118175.97</v>
      </c>
      <c r="AD78" t="str">
        <f t="shared" si="28"/>
        <v>A</v>
      </c>
      <c r="AE78">
        <f>COUNTIF('Entity Map'!$A:$A,A78)</f>
        <v>1</v>
      </c>
      <c r="AF78">
        <f>MAX(Positions!$C:$C)</f>
        <v>46354</v>
      </c>
      <c r="AG78">
        <f t="shared" si="29"/>
        <v>2026</v>
      </c>
      <c r="AH78">
        <f t="shared" si="30"/>
        <v>140553.63</v>
      </c>
      <c r="AI78">
        <f t="shared" si="31"/>
        <v>43044.55</v>
      </c>
      <c r="AJ78">
        <f t="shared" si="32"/>
        <v>41753.213500000005</v>
      </c>
      <c r="AK78" t="str">
        <f t="shared" si="33"/>
        <v>00060 / 41753.21</v>
      </c>
    </row>
    <row r="79" spans="1:37" x14ac:dyDescent="0.35">
      <c r="A79" t="s">
        <v>145</v>
      </c>
      <c r="B79" t="str">
        <f>INDEX('Entity Map'!$B:$B,MATCH(A79,'Entity Map'!$A:$A,0))</f>
        <v>Client 061 Holdings</v>
      </c>
      <c r="C79">
        <f>INDEX('Entity Map'!$F:$F,MATCH(A79,'Entity Map'!$A:$A,0))</f>
        <v>45358</v>
      </c>
      <c r="D79">
        <f t="shared" si="18"/>
        <v>46327</v>
      </c>
      <c r="E79" t="str">
        <f t="shared" si="19"/>
        <v>2026-11</v>
      </c>
      <c r="F79">
        <f>AVERAGEIFS(Positions!$F:$F,Positions!$A:$A,A79)</f>
        <v>44944402.640000001</v>
      </c>
      <c r="G79">
        <f t="shared" si="34"/>
        <v>54059087.984999999</v>
      </c>
      <c r="H79">
        <f t="shared" si="35"/>
        <v>44944402.640000001</v>
      </c>
      <c r="I79">
        <f>VLOOKUP(F79,'Fee Schedule'!$D$5:$F$8,3,TRUE)</f>
        <v>22</v>
      </c>
      <c r="J79" t="str">
        <f>IFERROR(VLOOKUP(A79,'Fee Schedule'!$A$5:$B$21,2,FALSE),I79)</f>
        <v>29.0</v>
      </c>
      <c r="K79" t="str">
        <f>INDEX('Entity Map'!$C:$C,MATCH(A79,'Entity Map'!$A:$A,0))</f>
        <v>LuxCo</v>
      </c>
      <c r="L79" t="str">
        <f>INDEX('Entity Map'!$D:$D,MATCH(A79,'Entity Map'!$A:$A,0))</f>
        <v>CC-100</v>
      </c>
      <c r="M79">
        <f t="shared" si="20"/>
        <v>130338.77</v>
      </c>
      <c r="N79">
        <f t="shared" si="21"/>
        <v>30</v>
      </c>
      <c r="O79">
        <f t="shared" si="22"/>
        <v>30</v>
      </c>
      <c r="P79">
        <f t="shared" si="23"/>
        <v>130338.77</v>
      </c>
      <c r="Q79">
        <f>MAX(P79,'Fee Schedule'!$I$3)</f>
        <v>130338.77</v>
      </c>
      <c r="R79">
        <f>MIN(Q79,'Fee Schedule'!$I$4)</f>
        <v>130338.77</v>
      </c>
      <c r="S79">
        <f>IFERROR(R79*'Fee Schedule'!$I$5,0)</f>
        <v>3258.4692500000001</v>
      </c>
      <c r="T79">
        <f t="shared" si="24"/>
        <v>127080.3</v>
      </c>
      <c r="U79">
        <f>IFERROR(VLOOKUP(A79,Overrides!$A:$C,3,FALSE),T79)</f>
        <v>127080.3</v>
      </c>
      <c r="V79" t="str">
        <f t="shared" si="25"/>
        <v/>
      </c>
      <c r="W79" t="str">
        <f t="shared" si="26"/>
        <v>000-2026-11</v>
      </c>
      <c r="X79">
        <f>COUNTIFS(Positions!$A:$A,A79)</f>
        <v>2</v>
      </c>
      <c r="Y79">
        <f>SUM($U$19:U79)</f>
        <v>5454364.2300000004</v>
      </c>
      <c r="Z79" t="str">
        <f>UPPER(TRIM(INDEX('Entity Map'!$E:$E,MATCH(A79,'Entity Map'!$A:$A,0))))</f>
        <v>BALANCED</v>
      </c>
      <c r="AA79">
        <f>SUMIFS(Positions!$F:$F,Positions!$E:$E,Z79)</f>
        <v>2420753390.7000003</v>
      </c>
      <c r="AB79">
        <f t="shared" si="27"/>
        <v>1.8566287178473639E-2</v>
      </c>
      <c r="AC79">
        <f>SUMPRODUCT(Positions!$F$18:$F$185,--(Positions!$A$18:$A$185=A79))</f>
        <v>89888805.280000001</v>
      </c>
      <c r="AD79" t="str">
        <f t="shared" si="28"/>
        <v>A</v>
      </c>
      <c r="AE79">
        <f>COUNTIF('Entity Map'!$A:$A,A79)</f>
        <v>1</v>
      </c>
      <c r="AF79">
        <f>MAX(Positions!$C:$C)</f>
        <v>46354</v>
      </c>
      <c r="AG79">
        <f t="shared" si="29"/>
        <v>2026</v>
      </c>
      <c r="AH79">
        <f t="shared" si="30"/>
        <v>116855.45</v>
      </c>
      <c r="AI79">
        <f t="shared" si="31"/>
        <v>-10224.850000000006</v>
      </c>
      <c r="AJ79">
        <f t="shared" si="32"/>
        <v>-9918.1045000000049</v>
      </c>
      <c r="AK79" t="str">
        <f t="shared" si="33"/>
        <v>00061 / -9918.10</v>
      </c>
    </row>
    <row r="80" spans="1:37" x14ac:dyDescent="0.35">
      <c r="A80" t="s">
        <v>147</v>
      </c>
      <c r="B80" t="str">
        <f>INDEX('Entity Map'!$B:$B,MATCH(A80,'Entity Map'!$A:$A,0))</f>
        <v>Client 062 Holdings</v>
      </c>
      <c r="C80">
        <f>INDEX('Entity Map'!$F:$F,MATCH(A80,'Entity Map'!$A:$A,0))</f>
        <v>45359</v>
      </c>
      <c r="D80">
        <f t="shared" si="18"/>
        <v>46327</v>
      </c>
      <c r="E80" t="str">
        <f t="shared" si="19"/>
        <v>2026-11</v>
      </c>
      <c r="F80">
        <f>AVERAGEIFS(Positions!$F:$F,Positions!$A:$A,A80)</f>
        <v>51496775.469999999</v>
      </c>
      <c r="G80">
        <f t="shared" si="34"/>
        <v>44944402.640000001</v>
      </c>
      <c r="H80">
        <f t="shared" si="35"/>
        <v>51496775.469999999</v>
      </c>
      <c r="I80">
        <f>VLOOKUP(F80,'Fee Schedule'!$D$5:$F$8,3,TRUE)</f>
        <v>18.5</v>
      </c>
      <c r="J80">
        <f>IFERROR(VLOOKUP(A80,'Fee Schedule'!$A$5:$B$21,2,FALSE),I80)</f>
        <v>18.5</v>
      </c>
      <c r="K80" t="str">
        <f>INDEX('Entity Map'!$C:$C,MATCH(A80,'Entity Map'!$A:$A,0))</f>
        <v>UKCo</v>
      </c>
      <c r="L80" t="str">
        <f>INDEX('Entity Map'!$D:$D,MATCH(A80,'Entity Map'!$A:$A,0))</f>
        <v>CC-110</v>
      </c>
      <c r="M80">
        <f t="shared" si="20"/>
        <v>95269.03</v>
      </c>
      <c r="N80">
        <f t="shared" si="21"/>
        <v>30</v>
      </c>
      <c r="O80">
        <f t="shared" si="22"/>
        <v>30</v>
      </c>
      <c r="P80">
        <f t="shared" si="23"/>
        <v>95269.03</v>
      </c>
      <c r="Q80">
        <f>MAX(P80,'Fee Schedule'!$I$3)</f>
        <v>95269.03</v>
      </c>
      <c r="R80">
        <f>MIN(Q80,'Fee Schedule'!$I$4)</f>
        <v>95269.03</v>
      </c>
      <c r="S80">
        <f>IFERROR(R80*'Fee Schedule'!$I$5,0)</f>
        <v>2381.7257500000001</v>
      </c>
      <c r="T80">
        <f t="shared" si="24"/>
        <v>92887.3</v>
      </c>
      <c r="U80">
        <f>IFERROR(VLOOKUP(A80,Overrides!$A:$C,3,FALSE),T80)</f>
        <v>4220.75</v>
      </c>
      <c r="V80" t="str">
        <f t="shared" si="25"/>
        <v>OVERRIDE</v>
      </c>
      <c r="W80" t="str">
        <f t="shared" si="26"/>
        <v>000-2026-11</v>
      </c>
      <c r="X80">
        <f>COUNTIFS(Positions!$A:$A,A80)</f>
        <v>2</v>
      </c>
      <c r="Y80">
        <f>SUM($U$19:U80)</f>
        <v>5458584.9800000004</v>
      </c>
      <c r="Z80" t="str">
        <f>UPPER(TRIM(INDEX('Entity Map'!$E:$E,MATCH(A80,'Entity Map'!$A:$A,0))))</f>
        <v>EQUITY</v>
      </c>
      <c r="AA80">
        <f>SUMIFS(Positions!$F:$F,Positions!$E:$E,Z80)</f>
        <v>2806311623.6099992</v>
      </c>
      <c r="AB80">
        <f t="shared" si="27"/>
        <v>1.83503410799957E-2</v>
      </c>
      <c r="AC80">
        <f>SUMPRODUCT(Positions!$F$18:$F$185,--(Positions!$A$18:$A$185=A80))</f>
        <v>102993550.94</v>
      </c>
      <c r="AD80" t="str">
        <f t="shared" si="28"/>
        <v>C</v>
      </c>
      <c r="AE80">
        <f>COUNTIF('Entity Map'!$A:$A,A80)</f>
        <v>1</v>
      </c>
      <c r="AF80">
        <f>MAX(Positions!$C:$C)</f>
        <v>46354</v>
      </c>
      <c r="AG80">
        <f t="shared" si="29"/>
        <v>2026</v>
      </c>
      <c r="AH80">
        <f t="shared" si="30"/>
        <v>133891.62</v>
      </c>
      <c r="AI80">
        <f t="shared" si="31"/>
        <v>41004.319999999992</v>
      </c>
      <c r="AJ80">
        <f t="shared" si="32"/>
        <v>39774.190399999992</v>
      </c>
      <c r="AK80" t="str">
        <f t="shared" si="33"/>
        <v>00062 / 39774.19</v>
      </c>
    </row>
    <row r="81" spans="1:37" x14ac:dyDescent="0.35">
      <c r="A81" t="s">
        <v>149</v>
      </c>
      <c r="B81" t="str">
        <f>INDEX('Entity Map'!$B:$B,MATCH(A81,'Entity Map'!$A:$A,0))</f>
        <v>Client 063 Holdings</v>
      </c>
      <c r="C81">
        <f>INDEX('Entity Map'!$F:$F,MATCH(A81,'Entity Map'!$A:$A,0))</f>
        <v>45360</v>
      </c>
      <c r="D81">
        <f t="shared" si="18"/>
        <v>46327</v>
      </c>
      <c r="E81" t="str">
        <f t="shared" si="19"/>
        <v>2026-11</v>
      </c>
      <c r="F81">
        <f>AVERAGEIFS(Positions!$F:$F,Positions!$A:$A,A81)</f>
        <v>36919924.585000001</v>
      </c>
      <c r="G81">
        <f t="shared" si="34"/>
        <v>51496775.469999999</v>
      </c>
      <c r="H81">
        <f t="shared" si="35"/>
        <v>36919924.585000001</v>
      </c>
      <c r="I81">
        <f>VLOOKUP(F81,'Fee Schedule'!$D$5:$F$8,3,TRUE)</f>
        <v>22</v>
      </c>
      <c r="J81">
        <f>IFERROR(VLOOKUP(A81,'Fee Schedule'!$A$5:$B$21,2,FALSE),I81)</f>
        <v>22</v>
      </c>
      <c r="K81" t="str">
        <f>INDEX('Entity Map'!$C:$C,MATCH(A81,'Entity Map'!$A:$A,0))</f>
        <v>DubCo</v>
      </c>
      <c r="L81" t="str">
        <f>INDEX('Entity Map'!$D:$D,MATCH(A81,'Entity Map'!$A:$A,0))</f>
        <v>CC-120</v>
      </c>
      <c r="M81">
        <f t="shared" si="20"/>
        <v>81223.83</v>
      </c>
      <c r="N81">
        <f t="shared" si="21"/>
        <v>30</v>
      </c>
      <c r="O81">
        <f t="shared" si="22"/>
        <v>30</v>
      </c>
      <c r="P81">
        <f t="shared" si="23"/>
        <v>81223.83</v>
      </c>
      <c r="Q81">
        <f>MAX(P81,'Fee Schedule'!$I$3)</f>
        <v>81223.83</v>
      </c>
      <c r="R81">
        <f>MIN(Q81,'Fee Schedule'!$I$4)</f>
        <v>81223.83</v>
      </c>
      <c r="S81">
        <f>IFERROR(R81*'Fee Schedule'!$I$5,0)</f>
        <v>2030.5957500000002</v>
      </c>
      <c r="T81">
        <f t="shared" si="24"/>
        <v>79193.23</v>
      </c>
      <c r="U81">
        <f>IFERROR(VLOOKUP(A81,Overrides!$A:$C,3,FALSE),T81)</f>
        <v>79193.23</v>
      </c>
      <c r="V81" t="str">
        <f t="shared" si="25"/>
        <v/>
      </c>
      <c r="W81" t="str">
        <f t="shared" si="26"/>
        <v>000-2026-11</v>
      </c>
      <c r="X81">
        <f>COUNTIFS(Positions!$A:$A,A81)</f>
        <v>2</v>
      </c>
      <c r="Y81">
        <f>SUM($U$19:U81)</f>
        <v>5537778.21</v>
      </c>
      <c r="Z81" t="str">
        <f>UPPER(TRIM(INDEX('Entity Map'!$E:$E,MATCH(A81,'Entity Map'!$A:$A,0))))</f>
        <v>FIXED INCOME</v>
      </c>
      <c r="AA81">
        <f>SUMIFS(Positions!$F:$F,Positions!$E:$E,Z81)</f>
        <v>2496645976.4000001</v>
      </c>
      <c r="AB81">
        <f t="shared" si="27"/>
        <v>1.4787809298551858E-2</v>
      </c>
      <c r="AC81">
        <f>SUMPRODUCT(Positions!$F$18:$F$185,--(Positions!$A$18:$A$185=A81))</f>
        <v>73839849.170000002</v>
      </c>
      <c r="AD81" t="str">
        <f t="shared" si="28"/>
        <v>A</v>
      </c>
      <c r="AE81">
        <f>COUNTIF('Entity Map'!$A:$A,A81)</f>
        <v>1</v>
      </c>
      <c r="AF81">
        <f>MAX(Positions!$C:$C)</f>
        <v>46354</v>
      </c>
      <c r="AG81">
        <f t="shared" si="29"/>
        <v>2026</v>
      </c>
      <c r="AH81">
        <f t="shared" si="30"/>
        <v>95991.8</v>
      </c>
      <c r="AI81">
        <f t="shared" si="31"/>
        <v>16798.570000000007</v>
      </c>
      <c r="AJ81">
        <f t="shared" si="32"/>
        <v>16294.612900000006</v>
      </c>
      <c r="AK81" t="str">
        <f t="shared" si="33"/>
        <v>00063 / 16294.61</v>
      </c>
    </row>
    <row r="82" spans="1:37" x14ac:dyDescent="0.35">
      <c r="A82" t="s">
        <v>151</v>
      </c>
      <c r="B82" t="str">
        <f>INDEX('Entity Map'!$B:$B,MATCH(A82,'Entity Map'!$A:$A,0))</f>
        <v>Client 064 Holdings</v>
      </c>
      <c r="C82">
        <f>INDEX('Entity Map'!$F:$F,MATCH(A82,'Entity Map'!$A:$A,0))</f>
        <v>45361</v>
      </c>
      <c r="D82">
        <f t="shared" si="18"/>
        <v>46327</v>
      </c>
      <c r="E82" t="str">
        <f t="shared" si="19"/>
        <v>2026-11</v>
      </c>
      <c r="F82">
        <f>AVERAGEIFS(Positions!$F:$F,Positions!$A:$A,A82)</f>
        <v>28266725.574999999</v>
      </c>
      <c r="G82">
        <f t="shared" si="34"/>
        <v>36919924.585000001</v>
      </c>
      <c r="H82">
        <f t="shared" si="35"/>
        <v>28266725.574999999</v>
      </c>
      <c r="I82">
        <f>VLOOKUP(F82,'Fee Schedule'!$D$5:$F$8,3,TRUE)</f>
        <v>22</v>
      </c>
      <c r="J82">
        <f>IFERROR(VLOOKUP(A82,'Fee Schedule'!$A$5:$B$21,2,FALSE),I82)</f>
        <v>22</v>
      </c>
      <c r="K82" t="str">
        <f>INDEX('Entity Map'!$C:$C,MATCH(A82,'Entity Map'!$A:$A,0))</f>
        <v>LuxCo</v>
      </c>
      <c r="L82" t="str">
        <f>INDEX('Entity Map'!$D:$D,MATCH(A82,'Entity Map'!$A:$A,0))</f>
        <v>CC-130</v>
      </c>
      <c r="M82">
        <f t="shared" si="20"/>
        <v>62186.8</v>
      </c>
      <c r="N82">
        <f t="shared" si="21"/>
        <v>30</v>
      </c>
      <c r="O82">
        <f t="shared" si="22"/>
        <v>30</v>
      </c>
      <c r="P82">
        <f t="shared" si="23"/>
        <v>62186.8</v>
      </c>
      <c r="Q82">
        <f>MAX(P82,'Fee Schedule'!$I$3)</f>
        <v>62186.8</v>
      </c>
      <c r="R82">
        <f>MIN(Q82,'Fee Schedule'!$I$4)</f>
        <v>62186.8</v>
      </c>
      <c r="S82">
        <f>IFERROR(R82*'Fee Schedule'!$I$5,0)</f>
        <v>1554.67</v>
      </c>
      <c r="T82">
        <f t="shared" si="24"/>
        <v>60632.13</v>
      </c>
      <c r="U82">
        <f>IFERROR(VLOOKUP(A82,Overrides!$A:$C,3,FALSE),T82)</f>
        <v>60632.13</v>
      </c>
      <c r="V82" t="str">
        <f t="shared" si="25"/>
        <v/>
      </c>
      <c r="W82" t="str">
        <f t="shared" si="26"/>
        <v>000-2026-11</v>
      </c>
      <c r="X82">
        <f>COUNTIFS(Positions!$A:$A,A82)</f>
        <v>2</v>
      </c>
      <c r="Y82">
        <f>SUM($U$19:U82)</f>
        <v>5598410.3399999999</v>
      </c>
      <c r="Z82" t="str">
        <f>UPPER(TRIM(INDEX('Entity Map'!$E:$E,MATCH(A82,'Entity Map'!$A:$A,0))))</f>
        <v>BALANCED</v>
      </c>
      <c r="AA82">
        <f>SUMIFS(Positions!$F:$F,Positions!$E:$E,Z82)</f>
        <v>2420753390.7000003</v>
      </c>
      <c r="AB82">
        <f t="shared" si="27"/>
        <v>1.1676829900804648E-2</v>
      </c>
      <c r="AC82">
        <f>SUMPRODUCT(Positions!$F$18:$F$185,--(Positions!$A$18:$A$185=A82))</f>
        <v>56533451.149999999</v>
      </c>
      <c r="AD82" t="str">
        <f t="shared" si="28"/>
        <v>A</v>
      </c>
      <c r="AE82">
        <f>COUNTIF('Entity Map'!$A:$A,A82)</f>
        <v>1</v>
      </c>
      <c r="AF82">
        <f>MAX(Positions!$C:$C)</f>
        <v>46354</v>
      </c>
      <c r="AG82">
        <f t="shared" si="29"/>
        <v>2026</v>
      </c>
      <c r="AH82">
        <f t="shared" si="30"/>
        <v>73493.490000000005</v>
      </c>
      <c r="AI82">
        <f t="shared" si="31"/>
        <v>12861.360000000008</v>
      </c>
      <c r="AJ82">
        <f t="shared" si="32"/>
        <v>12475.519200000008</v>
      </c>
      <c r="AK82" t="str">
        <f t="shared" si="33"/>
        <v>00064 / 12475.52</v>
      </c>
    </row>
    <row r="83" spans="1:37" x14ac:dyDescent="0.35">
      <c r="A83" t="s">
        <v>153</v>
      </c>
      <c r="B83" t="str">
        <f>INDEX('Entity Map'!$B:$B,MATCH(A83,'Entity Map'!$A:$A,0))</f>
        <v>Client 065 Holdings</v>
      </c>
      <c r="C83">
        <f>INDEX('Entity Map'!$F:$F,MATCH(A83,'Entity Map'!$A:$A,0))</f>
        <v>45362</v>
      </c>
      <c r="D83">
        <f t="shared" ref="D83:D114" si="36">MAX(DATE(2026,11,1),C83)</f>
        <v>46327</v>
      </c>
      <c r="E83" t="str">
        <f t="shared" ref="E83:E114" si="37">TEXT(D83,"yyyy-mm")</f>
        <v>2026-11</v>
      </c>
      <c r="F83">
        <f>AVERAGEIFS(Positions!$F:$F,Positions!$A:$A,A83)</f>
        <v>75170199.640000001</v>
      </c>
      <c r="G83">
        <f t="shared" si="34"/>
        <v>28266725.574999999</v>
      </c>
      <c r="H83">
        <f t="shared" si="35"/>
        <v>75170199.640000001</v>
      </c>
      <c r="I83">
        <f>VLOOKUP(F83,'Fee Schedule'!$D$5:$F$8,3,TRUE)</f>
        <v>18.5</v>
      </c>
      <c r="J83">
        <f>IFERROR(VLOOKUP(A83,'Fee Schedule'!$A$5:$B$21,2,FALSE),I83)</f>
        <v>18.5</v>
      </c>
      <c r="K83" t="str">
        <f>INDEX('Entity Map'!$C:$C,MATCH(A83,'Entity Map'!$A:$A,0))</f>
        <v>UKCo</v>
      </c>
      <c r="L83" t="str">
        <f>INDEX('Entity Map'!$D:$D,MATCH(A83,'Entity Map'!$A:$A,0))</f>
        <v>CC-140</v>
      </c>
      <c r="M83">
        <f t="shared" ref="M83:M102" si="38">ROUND(F83*J83/10000,2)</f>
        <v>139064.87</v>
      </c>
      <c r="N83">
        <f t="shared" ref="N83:N102" si="39">DAY(EOMONTH(D83,0))</f>
        <v>30</v>
      </c>
      <c r="O83">
        <f t="shared" ref="O83:O102" si="40">DATEDIF(D83,EOMONTH(D83,0),"d")+1</f>
        <v>30</v>
      </c>
      <c r="P83">
        <f t="shared" ref="P83:P114" si="41">ROUND(M83*O83/N83,2)</f>
        <v>139064.87</v>
      </c>
      <c r="Q83">
        <f>MAX(P83,'Fee Schedule'!$I$3)</f>
        <v>139064.87</v>
      </c>
      <c r="R83">
        <f>MIN(Q83,'Fee Schedule'!$I$4)</f>
        <v>139064.87</v>
      </c>
      <c r="S83">
        <f>IFERROR(R83*'Fee Schedule'!$I$5,0)</f>
        <v>3476.6217500000002</v>
      </c>
      <c r="T83">
        <f t="shared" ref="T83:T114" si="42">ROUND(R83-S83,2)</f>
        <v>135588.25</v>
      </c>
      <c r="U83">
        <f>IFERROR(VLOOKUP(A83,Overrides!$A:$C,3,FALSE),T83)</f>
        <v>135588.25</v>
      </c>
      <c r="V83" t="str">
        <f t="shared" ref="V83:V114" si="43">IF(U83=T83,"","OVERRIDE")</f>
        <v/>
      </c>
      <c r="W83" t="str">
        <f t="shared" ref="W83:W102" si="44">LEFT(A83,3)&amp;"-"&amp;E83</f>
        <v>000-2026-11</v>
      </c>
      <c r="X83">
        <f>COUNTIFS(Positions!$A:$A,A83)</f>
        <v>2</v>
      </c>
      <c r="Y83">
        <f>SUM($U$19:U83)</f>
        <v>5733998.5899999999</v>
      </c>
      <c r="Z83" t="str">
        <f>UPPER(TRIM(INDEX('Entity Map'!$E:$E,MATCH(A83,'Entity Map'!$A:$A,0))))</f>
        <v>EQUITY</v>
      </c>
      <c r="AA83">
        <f>SUMIFS(Positions!$F:$F,Positions!$E:$E,Z83)</f>
        <v>2806311623.6099992</v>
      </c>
      <c r="AB83">
        <f t="shared" ref="AB83:AB114" si="45">IFERROR(F83/AA83,0)</f>
        <v>2.6786119904710415E-2</v>
      </c>
      <c r="AC83">
        <f>SUMPRODUCT(Positions!$F$18:$F$185,--(Positions!$A$18:$A$185=A83))</f>
        <v>150340399.28</v>
      </c>
      <c r="AD83" t="str">
        <f t="shared" ref="AD83:AD102" si="46">IF(U83&gt;40000,"A",IF(U83&gt;8000,"B","C"))</f>
        <v>A</v>
      </c>
      <c r="AE83">
        <f>COUNTIF('Entity Map'!$A:$A,A83)</f>
        <v>1</v>
      </c>
      <c r="AF83">
        <f>MAX(Positions!$C:$C)</f>
        <v>46354</v>
      </c>
      <c r="AG83">
        <f t="shared" ref="AG83:AG102" si="47">YEAR(D83)</f>
        <v>2026</v>
      </c>
      <c r="AH83">
        <f t="shared" ref="AH83:AH102" si="48">ROUND(F83*$B$14/10000,2)</f>
        <v>195442.52</v>
      </c>
      <c r="AI83">
        <f t="shared" ref="AI83:AI114" si="49">AH83-T83</f>
        <v>59854.26999999999</v>
      </c>
      <c r="AJ83">
        <f t="shared" ref="AJ83:AJ114" si="50">AI83*$B$15</f>
        <v>58058.641899999988</v>
      </c>
      <c r="AK83" t="str">
        <f t="shared" ref="AK83:AK114" si="51">CONCATENATE(A83," / ",TEXT(AJ83,"0.00"))</f>
        <v>00065 / 58058.64</v>
      </c>
    </row>
    <row r="84" spans="1:37" x14ac:dyDescent="0.35">
      <c r="A84" t="s">
        <v>155</v>
      </c>
      <c r="B84" t="str">
        <f>INDEX('Entity Map'!$B:$B,MATCH(A84,'Entity Map'!$A:$A,0))</f>
        <v>Client 066 Holdings</v>
      </c>
      <c r="C84">
        <f>INDEX('Entity Map'!$F:$F,MATCH(A84,'Entity Map'!$A:$A,0))</f>
        <v>45363</v>
      </c>
      <c r="D84">
        <f t="shared" si="36"/>
        <v>46327</v>
      </c>
      <c r="E84" t="str">
        <f t="shared" si="37"/>
        <v>2026-11</v>
      </c>
      <c r="F84">
        <f>AVERAGEIFS(Positions!$F:$F,Positions!$A:$A,A84)</f>
        <v>83871450.895000011</v>
      </c>
      <c r="G84">
        <f t="shared" ref="G84:G102" si="52">F83</f>
        <v>75170199.640000001</v>
      </c>
      <c r="H84">
        <f t="shared" ref="H84:H115" si="53">IF(A84=A83,G84,F84)</f>
        <v>83871450.895000011</v>
      </c>
      <c r="I84">
        <f>VLOOKUP(F84,'Fee Schedule'!$D$5:$F$8,3,TRUE)</f>
        <v>18.5</v>
      </c>
      <c r="J84" t="str">
        <f>IFERROR(VLOOKUP(A84,'Fee Schedule'!$A$5:$B$21,2,FALSE),I84)</f>
        <v>23.0</v>
      </c>
      <c r="K84" t="str">
        <f>INDEX('Entity Map'!$C:$C,MATCH(A84,'Entity Map'!$A:$A,0))</f>
        <v>DubCo</v>
      </c>
      <c r="L84" t="str">
        <f>INDEX('Entity Map'!$D:$D,MATCH(A84,'Entity Map'!$A:$A,0))</f>
        <v>CC-150</v>
      </c>
      <c r="M84">
        <f t="shared" si="38"/>
        <v>192904.34</v>
      </c>
      <c r="N84">
        <f t="shared" si="39"/>
        <v>30</v>
      </c>
      <c r="O84">
        <f t="shared" si="40"/>
        <v>30</v>
      </c>
      <c r="P84">
        <f t="shared" si="41"/>
        <v>192904.34</v>
      </c>
      <c r="Q84">
        <f>MAX(P84,'Fee Schedule'!$I$3)</f>
        <v>192904.34</v>
      </c>
      <c r="R84">
        <f>MIN(Q84,'Fee Schedule'!$I$4)</f>
        <v>192904.34</v>
      </c>
      <c r="S84">
        <f>IFERROR(R84*'Fee Schedule'!$I$5,0)</f>
        <v>4822.6085000000003</v>
      </c>
      <c r="T84">
        <f t="shared" si="42"/>
        <v>188081.73</v>
      </c>
      <c r="U84">
        <f>IFERROR(VLOOKUP(A84,Overrides!$A:$C,3,FALSE),T84)</f>
        <v>188081.73</v>
      </c>
      <c r="V84" t="str">
        <f t="shared" si="43"/>
        <v/>
      </c>
      <c r="W84" t="str">
        <f t="shared" si="44"/>
        <v>000-2026-11</v>
      </c>
      <c r="X84">
        <f>COUNTIFS(Positions!$A:$A,A84)</f>
        <v>2</v>
      </c>
      <c r="Y84">
        <f>SUM($U$19:U84)</f>
        <v>5922080.3200000003</v>
      </c>
      <c r="Z84" t="str">
        <f>UPPER(TRIM(INDEX('Entity Map'!$E:$E,MATCH(A84,'Entity Map'!$A:$A,0))))</f>
        <v>FIXED INCOME</v>
      </c>
      <c r="AA84">
        <f>SUMIFS(Positions!$F:$F,Positions!$E:$E,Z84)</f>
        <v>2496645976.4000001</v>
      </c>
      <c r="AB84">
        <f t="shared" si="45"/>
        <v>3.3593649915851162E-2</v>
      </c>
      <c r="AC84">
        <f>SUMPRODUCT(Positions!$F$18:$F$185,--(Positions!$A$18:$A$185=A84))</f>
        <v>167742901.79000002</v>
      </c>
      <c r="AD84" t="str">
        <f t="shared" si="46"/>
        <v>A</v>
      </c>
      <c r="AE84">
        <f>COUNTIF('Entity Map'!$A:$A,A84)</f>
        <v>1</v>
      </c>
      <c r="AF84">
        <f>MAX(Positions!$C:$C)</f>
        <v>46354</v>
      </c>
      <c r="AG84">
        <f t="shared" si="47"/>
        <v>2026</v>
      </c>
      <c r="AH84">
        <f t="shared" si="48"/>
        <v>218065.77</v>
      </c>
      <c r="AI84">
        <f t="shared" si="49"/>
        <v>29984.039999999979</v>
      </c>
      <c r="AJ84">
        <f t="shared" si="50"/>
        <v>29084.51879999998</v>
      </c>
      <c r="AK84" t="str">
        <f t="shared" si="51"/>
        <v>00066 / 29084.52</v>
      </c>
    </row>
    <row r="85" spans="1:37" x14ac:dyDescent="0.35">
      <c r="A85" t="s">
        <v>157</v>
      </c>
      <c r="B85" t="str">
        <f>INDEX('Entity Map'!$B:$B,MATCH(A85,'Entity Map'!$A:$A,0))</f>
        <v>Client 067 Holdings</v>
      </c>
      <c r="C85">
        <f>INDEX('Entity Map'!$F:$F,MATCH(A85,'Entity Map'!$A:$A,0))</f>
        <v>45364</v>
      </c>
      <c r="D85">
        <f t="shared" si="36"/>
        <v>46327</v>
      </c>
      <c r="E85" t="str">
        <f t="shared" si="37"/>
        <v>2026-11</v>
      </c>
      <c r="F85">
        <f>AVERAGEIFS(Positions!$F:$F,Positions!$A:$A,A85)</f>
        <v>35736003.644999996</v>
      </c>
      <c r="G85">
        <f t="shared" si="52"/>
        <v>83871450.895000011</v>
      </c>
      <c r="H85">
        <f t="shared" si="53"/>
        <v>35736003.644999996</v>
      </c>
      <c r="I85">
        <f>VLOOKUP(F85,'Fee Schedule'!$D$5:$F$8,3,TRUE)</f>
        <v>22</v>
      </c>
      <c r="J85">
        <f>IFERROR(VLOOKUP(A85,'Fee Schedule'!$A$5:$B$21,2,FALSE),I85)</f>
        <v>22</v>
      </c>
      <c r="K85" t="str">
        <f>INDEX('Entity Map'!$C:$C,MATCH(A85,'Entity Map'!$A:$A,0))</f>
        <v>LuxCo</v>
      </c>
      <c r="L85" t="str">
        <f>INDEX('Entity Map'!$D:$D,MATCH(A85,'Entity Map'!$A:$A,0))</f>
        <v>CC-100</v>
      </c>
      <c r="M85">
        <f t="shared" si="38"/>
        <v>78619.210000000006</v>
      </c>
      <c r="N85">
        <f t="shared" si="39"/>
        <v>30</v>
      </c>
      <c r="O85">
        <f t="shared" si="40"/>
        <v>30</v>
      </c>
      <c r="P85">
        <f t="shared" si="41"/>
        <v>78619.210000000006</v>
      </c>
      <c r="Q85">
        <f>MAX(P85,'Fee Schedule'!$I$3)</f>
        <v>78619.210000000006</v>
      </c>
      <c r="R85">
        <f>MIN(Q85,'Fee Schedule'!$I$4)</f>
        <v>78619.210000000006</v>
      </c>
      <c r="S85">
        <f>IFERROR(R85*'Fee Schedule'!$I$5,0)</f>
        <v>1965.4802500000003</v>
      </c>
      <c r="T85">
        <f t="shared" si="42"/>
        <v>76653.73</v>
      </c>
      <c r="U85">
        <f>IFERROR(VLOOKUP(A85,Overrides!$A:$C,3,FALSE),T85)</f>
        <v>76653.73</v>
      </c>
      <c r="V85" t="str">
        <f t="shared" si="43"/>
        <v/>
      </c>
      <c r="W85" t="str">
        <f t="shared" si="44"/>
        <v>000-2026-11</v>
      </c>
      <c r="X85">
        <f>COUNTIFS(Positions!$A:$A,A85)</f>
        <v>2</v>
      </c>
      <c r="Y85">
        <f>SUM($U$19:U85)</f>
        <v>5998734.0499999998</v>
      </c>
      <c r="Z85" t="str">
        <f>UPPER(TRIM(INDEX('Entity Map'!$E:$E,MATCH(A85,'Entity Map'!$A:$A,0))))</f>
        <v>BALANCED</v>
      </c>
      <c r="AA85">
        <f>SUMIFS(Positions!$F:$F,Positions!$E:$E,Z85)</f>
        <v>2420753390.7000003</v>
      </c>
      <c r="AB85">
        <f t="shared" si="45"/>
        <v>1.4762347863392375E-2</v>
      </c>
      <c r="AC85">
        <f>SUMPRODUCT(Positions!$F$18:$F$185,--(Positions!$A$18:$A$185=A85))</f>
        <v>71472007.289999992</v>
      </c>
      <c r="AD85" t="str">
        <f t="shared" si="46"/>
        <v>A</v>
      </c>
      <c r="AE85">
        <f>COUNTIF('Entity Map'!$A:$A,A85)</f>
        <v>1</v>
      </c>
      <c r="AF85">
        <f>MAX(Positions!$C:$C)</f>
        <v>46354</v>
      </c>
      <c r="AG85">
        <f t="shared" si="47"/>
        <v>2026</v>
      </c>
      <c r="AH85">
        <f t="shared" si="48"/>
        <v>92913.61</v>
      </c>
      <c r="AI85">
        <f t="shared" si="49"/>
        <v>16259.880000000005</v>
      </c>
      <c r="AJ85">
        <f t="shared" si="50"/>
        <v>15772.083600000004</v>
      </c>
      <c r="AK85" t="str">
        <f t="shared" si="51"/>
        <v>00067 / 15772.08</v>
      </c>
    </row>
    <row r="86" spans="1:37" x14ac:dyDescent="0.35">
      <c r="A86" t="s">
        <v>159</v>
      </c>
      <c r="B86" t="str">
        <f>INDEX('Entity Map'!$B:$B,MATCH(A86,'Entity Map'!$A:$A,0))</f>
        <v>Client 068 Holdings</v>
      </c>
      <c r="C86">
        <f>INDEX('Entity Map'!$F:$F,MATCH(A86,'Entity Map'!$A:$A,0))</f>
        <v>45365</v>
      </c>
      <c r="D86">
        <f t="shared" si="36"/>
        <v>46327</v>
      </c>
      <c r="E86" t="str">
        <f t="shared" si="37"/>
        <v>2026-11</v>
      </c>
      <c r="F86">
        <f>AVERAGEIFS(Positions!$F:$F,Positions!$A:$A,A86)</f>
        <v>29159467.84</v>
      </c>
      <c r="G86">
        <f t="shared" si="52"/>
        <v>35736003.644999996</v>
      </c>
      <c r="H86">
        <f t="shared" si="53"/>
        <v>29159467.84</v>
      </c>
      <c r="I86">
        <f>VLOOKUP(F86,'Fee Schedule'!$D$5:$F$8,3,TRUE)</f>
        <v>22</v>
      </c>
      <c r="J86">
        <f>IFERROR(VLOOKUP(A86,'Fee Schedule'!$A$5:$B$21,2,FALSE),I86)</f>
        <v>22</v>
      </c>
      <c r="K86" t="str">
        <f>INDEX('Entity Map'!$C:$C,MATCH(A86,'Entity Map'!$A:$A,0))</f>
        <v>UKCo</v>
      </c>
      <c r="L86" t="str">
        <f>INDEX('Entity Map'!$D:$D,MATCH(A86,'Entity Map'!$A:$A,0))</f>
        <v>CC-110</v>
      </c>
      <c r="M86">
        <f t="shared" si="38"/>
        <v>64150.83</v>
      </c>
      <c r="N86">
        <f t="shared" si="39"/>
        <v>30</v>
      </c>
      <c r="O86">
        <f t="shared" si="40"/>
        <v>30</v>
      </c>
      <c r="P86">
        <f t="shared" si="41"/>
        <v>64150.83</v>
      </c>
      <c r="Q86">
        <f>MAX(P86,'Fee Schedule'!$I$3)</f>
        <v>64150.83</v>
      </c>
      <c r="R86">
        <f>MIN(Q86,'Fee Schedule'!$I$4)</f>
        <v>64150.83</v>
      </c>
      <c r="S86">
        <f>IFERROR(R86*'Fee Schedule'!$I$5,0)</f>
        <v>1603.7707500000001</v>
      </c>
      <c r="T86">
        <f t="shared" si="42"/>
        <v>62547.06</v>
      </c>
      <c r="U86">
        <f>IFERROR(VLOOKUP(A86,Overrides!$A:$C,3,FALSE),T86)</f>
        <v>62547.06</v>
      </c>
      <c r="V86" t="str">
        <f t="shared" si="43"/>
        <v/>
      </c>
      <c r="W86" t="str">
        <f t="shared" si="44"/>
        <v>000-2026-11</v>
      </c>
      <c r="X86">
        <f>COUNTIFS(Positions!$A:$A,A86)</f>
        <v>2</v>
      </c>
      <c r="Y86">
        <f>SUM($U$19:U86)</f>
        <v>6061281.1100000003</v>
      </c>
      <c r="Z86" t="str">
        <f>UPPER(TRIM(INDEX('Entity Map'!$E:$E,MATCH(A86,'Entity Map'!$A:$A,0))))</f>
        <v>EQUITY</v>
      </c>
      <c r="AA86">
        <f>SUMIFS(Positions!$F:$F,Positions!$E:$E,Z86)</f>
        <v>2806311623.6099992</v>
      </c>
      <c r="AB86">
        <f t="shared" si="45"/>
        <v>1.0390673507060372E-2</v>
      </c>
      <c r="AC86">
        <f>SUMPRODUCT(Positions!$F$18:$F$185,--(Positions!$A$18:$A$185=A86))</f>
        <v>58318935.68</v>
      </c>
      <c r="AD86" t="str">
        <f t="shared" si="46"/>
        <v>A</v>
      </c>
      <c r="AE86">
        <f>COUNTIF('Entity Map'!$A:$A,A86)</f>
        <v>1</v>
      </c>
      <c r="AF86">
        <f>MAX(Positions!$C:$C)</f>
        <v>46354</v>
      </c>
      <c r="AG86">
        <f t="shared" si="47"/>
        <v>2026</v>
      </c>
      <c r="AH86">
        <f t="shared" si="48"/>
        <v>75814.62</v>
      </c>
      <c r="AI86">
        <f t="shared" si="49"/>
        <v>13267.559999999998</v>
      </c>
      <c r="AJ86">
        <f t="shared" si="50"/>
        <v>12869.533199999998</v>
      </c>
      <c r="AK86" t="str">
        <f t="shared" si="51"/>
        <v>00068 / 12869.53</v>
      </c>
    </row>
    <row r="87" spans="1:37" x14ac:dyDescent="0.35">
      <c r="A87" t="s">
        <v>161</v>
      </c>
      <c r="B87" t="str">
        <f>INDEX('Entity Map'!$B:$B,MATCH(A87,'Entity Map'!$A:$A,0))</f>
        <v>Client 069 Holdings</v>
      </c>
      <c r="C87">
        <f>INDEX('Entity Map'!$F:$F,MATCH(A87,'Entity Map'!$A:$A,0))</f>
        <v>45366</v>
      </c>
      <c r="D87">
        <f t="shared" si="36"/>
        <v>46327</v>
      </c>
      <c r="E87" t="str">
        <f t="shared" si="37"/>
        <v>2026-11</v>
      </c>
      <c r="F87">
        <f>AVERAGEIFS(Positions!$F:$F,Positions!$A:$A,A87)</f>
        <v>59475708.019999996</v>
      </c>
      <c r="G87">
        <f t="shared" si="52"/>
        <v>29159467.84</v>
      </c>
      <c r="H87">
        <f t="shared" si="53"/>
        <v>59475708.019999996</v>
      </c>
      <c r="I87">
        <f>VLOOKUP(F87,'Fee Schedule'!$D$5:$F$8,3,TRUE)</f>
        <v>18.5</v>
      </c>
      <c r="J87">
        <f>IFERROR(VLOOKUP(A87,'Fee Schedule'!$A$5:$B$21,2,FALSE),I87)</f>
        <v>18.5</v>
      </c>
      <c r="K87" t="str">
        <f>INDEX('Entity Map'!$C:$C,MATCH(A87,'Entity Map'!$A:$A,0))</f>
        <v>DubCo</v>
      </c>
      <c r="L87" t="str">
        <f>INDEX('Entity Map'!$D:$D,MATCH(A87,'Entity Map'!$A:$A,0))</f>
        <v>CC-120</v>
      </c>
      <c r="M87">
        <f t="shared" si="38"/>
        <v>110030.06</v>
      </c>
      <c r="N87">
        <f t="shared" si="39"/>
        <v>30</v>
      </c>
      <c r="O87">
        <f t="shared" si="40"/>
        <v>30</v>
      </c>
      <c r="P87">
        <f t="shared" si="41"/>
        <v>110030.06</v>
      </c>
      <c r="Q87">
        <f>MAX(P87,'Fee Schedule'!$I$3)</f>
        <v>110030.06</v>
      </c>
      <c r="R87">
        <f>MIN(Q87,'Fee Schedule'!$I$4)</f>
        <v>110030.06</v>
      </c>
      <c r="S87">
        <f>IFERROR(R87*'Fee Schedule'!$I$5,0)</f>
        <v>2750.7515000000003</v>
      </c>
      <c r="T87">
        <f t="shared" si="42"/>
        <v>107279.31</v>
      </c>
      <c r="U87">
        <f>IFERROR(VLOOKUP(A87,Overrides!$A:$C,3,FALSE),T87)</f>
        <v>107279.31</v>
      </c>
      <c r="V87" t="str">
        <f t="shared" si="43"/>
        <v/>
      </c>
      <c r="W87" t="str">
        <f t="shared" si="44"/>
        <v>000-2026-11</v>
      </c>
      <c r="X87">
        <f>COUNTIFS(Positions!$A:$A,A87)</f>
        <v>2</v>
      </c>
      <c r="Y87">
        <f>SUM($U$19:U87)</f>
        <v>6168560.4199999999</v>
      </c>
      <c r="Z87" t="str">
        <f>UPPER(TRIM(INDEX('Entity Map'!$E:$E,MATCH(A87,'Entity Map'!$A:$A,0))))</f>
        <v>FIXED INCOME</v>
      </c>
      <c r="AA87">
        <f>SUMIFS(Positions!$F:$F,Positions!$E:$E,Z87)</f>
        <v>2496645976.4000001</v>
      </c>
      <c r="AB87">
        <f t="shared" si="45"/>
        <v>2.3822243354566459E-2</v>
      </c>
      <c r="AC87">
        <f>SUMPRODUCT(Positions!$F$18:$F$185,--(Positions!$A$18:$A$185=A87))</f>
        <v>118951416.03999999</v>
      </c>
      <c r="AD87" t="str">
        <f t="shared" si="46"/>
        <v>A</v>
      </c>
      <c r="AE87">
        <f>COUNTIF('Entity Map'!$A:$A,A87)</f>
        <v>1</v>
      </c>
      <c r="AF87">
        <f>MAX(Positions!$C:$C)</f>
        <v>46354</v>
      </c>
      <c r="AG87">
        <f t="shared" si="47"/>
        <v>2026</v>
      </c>
      <c r="AH87">
        <f t="shared" si="48"/>
        <v>154636.84</v>
      </c>
      <c r="AI87">
        <f t="shared" si="49"/>
        <v>47357.53</v>
      </c>
      <c r="AJ87">
        <f t="shared" si="50"/>
        <v>45936.804100000001</v>
      </c>
      <c r="AK87" t="str">
        <f t="shared" si="51"/>
        <v>00069 / 45936.80</v>
      </c>
    </row>
    <row r="88" spans="1:37" x14ac:dyDescent="0.35">
      <c r="A88" t="s">
        <v>163</v>
      </c>
      <c r="B88" t="str">
        <f>INDEX('Entity Map'!$B:$B,MATCH(A88,'Entity Map'!$A:$A,0))</f>
        <v>Client 070 Holdings</v>
      </c>
      <c r="C88">
        <f>INDEX('Entity Map'!$F:$F,MATCH(A88,'Entity Map'!$A:$A,0))</f>
        <v>45367</v>
      </c>
      <c r="D88">
        <f t="shared" si="36"/>
        <v>46327</v>
      </c>
      <c r="E88" t="str">
        <f t="shared" si="37"/>
        <v>2026-11</v>
      </c>
      <c r="F88">
        <f>AVERAGEIFS(Positions!$F:$F,Positions!$A:$A,A88)</f>
        <v>62601936.939999998</v>
      </c>
      <c r="G88">
        <f t="shared" si="52"/>
        <v>59475708.019999996</v>
      </c>
      <c r="H88">
        <f t="shared" si="53"/>
        <v>62601936.939999998</v>
      </c>
      <c r="I88">
        <f>VLOOKUP(F88,'Fee Schedule'!$D$5:$F$8,3,TRUE)</f>
        <v>18.5</v>
      </c>
      <c r="J88">
        <f>IFERROR(VLOOKUP(A88,'Fee Schedule'!$A$5:$B$21,2,FALSE),I88)</f>
        <v>18.5</v>
      </c>
      <c r="K88" t="str">
        <f>INDEX('Entity Map'!$C:$C,MATCH(A88,'Entity Map'!$A:$A,0))</f>
        <v>LuxCo</v>
      </c>
      <c r="L88" t="str">
        <f>INDEX('Entity Map'!$D:$D,MATCH(A88,'Entity Map'!$A:$A,0))</f>
        <v>CC-130</v>
      </c>
      <c r="M88">
        <f t="shared" si="38"/>
        <v>115813.58</v>
      </c>
      <c r="N88">
        <f t="shared" si="39"/>
        <v>30</v>
      </c>
      <c r="O88">
        <f t="shared" si="40"/>
        <v>30</v>
      </c>
      <c r="P88">
        <f t="shared" si="41"/>
        <v>115813.58</v>
      </c>
      <c r="Q88">
        <f>MAX(P88,'Fee Schedule'!$I$3)</f>
        <v>115813.58</v>
      </c>
      <c r="R88">
        <f>MIN(Q88,'Fee Schedule'!$I$4)</f>
        <v>115813.58</v>
      </c>
      <c r="S88">
        <f>IFERROR(R88*'Fee Schedule'!$I$5,0)</f>
        <v>2895.3395</v>
      </c>
      <c r="T88">
        <f t="shared" si="42"/>
        <v>112918.24</v>
      </c>
      <c r="U88">
        <f>IFERROR(VLOOKUP(A88,Overrides!$A:$C,3,FALSE),T88)</f>
        <v>112918.24</v>
      </c>
      <c r="V88" t="str">
        <f t="shared" si="43"/>
        <v/>
      </c>
      <c r="W88" t="str">
        <f t="shared" si="44"/>
        <v>000-2026-11</v>
      </c>
      <c r="X88">
        <f>COUNTIFS(Positions!$A:$A,A88)</f>
        <v>2</v>
      </c>
      <c r="Y88">
        <f>SUM($U$19:U88)</f>
        <v>6281478.6600000001</v>
      </c>
      <c r="Z88" t="str">
        <f>UPPER(TRIM(INDEX('Entity Map'!$E:$E,MATCH(A88,'Entity Map'!$A:$A,0))))</f>
        <v>BALANCED</v>
      </c>
      <c r="AA88">
        <f>SUMIFS(Positions!$F:$F,Positions!$E:$E,Z88)</f>
        <v>2420753390.7000003</v>
      </c>
      <c r="AB88">
        <f t="shared" si="45"/>
        <v>2.5860518126506735E-2</v>
      </c>
      <c r="AC88">
        <f>SUMPRODUCT(Positions!$F$18:$F$185,--(Positions!$A$18:$A$185=A88))</f>
        <v>125203873.88</v>
      </c>
      <c r="AD88" t="str">
        <f t="shared" si="46"/>
        <v>A</v>
      </c>
      <c r="AE88">
        <f>COUNTIF('Entity Map'!$A:$A,A88)</f>
        <v>1</v>
      </c>
      <c r="AF88">
        <f>MAX(Positions!$C:$C)</f>
        <v>46354</v>
      </c>
      <c r="AG88">
        <f t="shared" si="47"/>
        <v>2026</v>
      </c>
      <c r="AH88">
        <f t="shared" si="48"/>
        <v>162765.04</v>
      </c>
      <c r="AI88">
        <f t="shared" si="49"/>
        <v>49846.8</v>
      </c>
      <c r="AJ88">
        <f t="shared" si="50"/>
        <v>48351.396000000001</v>
      </c>
      <c r="AK88" t="str">
        <f t="shared" si="51"/>
        <v>00070 / 48351.40</v>
      </c>
    </row>
    <row r="89" spans="1:37" x14ac:dyDescent="0.35">
      <c r="A89" t="s">
        <v>165</v>
      </c>
      <c r="B89" t="str">
        <f>INDEX('Entity Map'!$B:$B,MATCH(A89,'Entity Map'!$A:$A,0))</f>
        <v>Client 071 Holdings</v>
      </c>
      <c r="C89">
        <f>INDEX('Entity Map'!$F:$F,MATCH(A89,'Entity Map'!$A:$A,0))</f>
        <v>45368</v>
      </c>
      <c r="D89">
        <f t="shared" si="36"/>
        <v>46327</v>
      </c>
      <c r="E89" t="str">
        <f t="shared" si="37"/>
        <v>2026-11</v>
      </c>
      <c r="F89">
        <f>AVERAGEIFS(Positions!$F:$F,Positions!$A:$A,A89)</f>
        <v>63490704.75</v>
      </c>
      <c r="G89">
        <f t="shared" si="52"/>
        <v>62601936.939999998</v>
      </c>
      <c r="H89">
        <f t="shared" si="53"/>
        <v>63490704.75</v>
      </c>
      <c r="I89">
        <f>VLOOKUP(F89,'Fee Schedule'!$D$5:$F$8,3,TRUE)</f>
        <v>18.5</v>
      </c>
      <c r="J89" t="str">
        <f>IFERROR(VLOOKUP(A89,'Fee Schedule'!$A$5:$B$21,2,FALSE),I89)</f>
        <v>30.5</v>
      </c>
      <c r="K89" t="str">
        <f>INDEX('Entity Map'!$C:$C,MATCH(A89,'Entity Map'!$A:$A,0))</f>
        <v>UKCo</v>
      </c>
      <c r="L89" t="str">
        <f>INDEX('Entity Map'!$D:$D,MATCH(A89,'Entity Map'!$A:$A,0))</f>
        <v>CC-140</v>
      </c>
      <c r="M89">
        <f t="shared" si="38"/>
        <v>193646.65</v>
      </c>
      <c r="N89">
        <f t="shared" si="39"/>
        <v>30</v>
      </c>
      <c r="O89">
        <f t="shared" si="40"/>
        <v>30</v>
      </c>
      <c r="P89">
        <f t="shared" si="41"/>
        <v>193646.65</v>
      </c>
      <c r="Q89">
        <f>MAX(P89,'Fee Schedule'!$I$3)</f>
        <v>193646.65</v>
      </c>
      <c r="R89">
        <f>MIN(Q89,'Fee Schedule'!$I$4)</f>
        <v>193646.65</v>
      </c>
      <c r="S89">
        <f>IFERROR(R89*'Fee Schedule'!$I$5,0)</f>
        <v>4841.1662500000002</v>
      </c>
      <c r="T89">
        <f t="shared" si="42"/>
        <v>188805.48</v>
      </c>
      <c r="U89">
        <f>IFERROR(VLOOKUP(A89,Overrides!$A:$C,3,FALSE),T89)</f>
        <v>188805.48</v>
      </c>
      <c r="V89" t="str">
        <f t="shared" si="43"/>
        <v/>
      </c>
      <c r="W89" t="str">
        <f t="shared" si="44"/>
        <v>000-2026-11</v>
      </c>
      <c r="X89">
        <f>COUNTIFS(Positions!$A:$A,A89)</f>
        <v>2</v>
      </c>
      <c r="Y89">
        <f>SUM($U$19:U89)</f>
        <v>6470284.1399999997</v>
      </c>
      <c r="Z89" t="str">
        <f>UPPER(TRIM(INDEX('Entity Map'!$E:$E,MATCH(A89,'Entity Map'!$A:$A,0))))</f>
        <v>EQUITY</v>
      </c>
      <c r="AA89">
        <f>SUMIFS(Positions!$F:$F,Positions!$E:$E,Z89)</f>
        <v>2806311623.6099992</v>
      </c>
      <c r="AB89">
        <f t="shared" si="45"/>
        <v>2.2624253206893135E-2</v>
      </c>
      <c r="AC89">
        <f>SUMPRODUCT(Positions!$F$18:$F$185,--(Positions!$A$18:$A$185=A89))</f>
        <v>126981409.5</v>
      </c>
      <c r="AD89" t="str">
        <f t="shared" si="46"/>
        <v>A</v>
      </c>
      <c r="AE89">
        <f>COUNTIF('Entity Map'!$A:$A,A89)</f>
        <v>1</v>
      </c>
      <c r="AF89">
        <f>MAX(Positions!$C:$C)</f>
        <v>46354</v>
      </c>
      <c r="AG89">
        <f t="shared" si="47"/>
        <v>2026</v>
      </c>
      <c r="AH89">
        <f t="shared" si="48"/>
        <v>165075.82999999999</v>
      </c>
      <c r="AI89">
        <f t="shared" si="49"/>
        <v>-23729.650000000023</v>
      </c>
      <c r="AJ89">
        <f t="shared" si="50"/>
        <v>-23017.760500000022</v>
      </c>
      <c r="AK89" t="str">
        <f t="shared" si="51"/>
        <v>00071 / -23017.76</v>
      </c>
    </row>
    <row r="90" spans="1:37" x14ac:dyDescent="0.35">
      <c r="A90" t="s">
        <v>167</v>
      </c>
      <c r="B90" t="str">
        <f>INDEX('Entity Map'!$B:$B,MATCH(A90,'Entity Map'!$A:$A,0))</f>
        <v>Client 072 Holdings</v>
      </c>
      <c r="C90">
        <f>INDEX('Entity Map'!$F:$F,MATCH(A90,'Entity Map'!$A:$A,0))</f>
        <v>45369</v>
      </c>
      <c r="D90">
        <f t="shared" si="36"/>
        <v>46327</v>
      </c>
      <c r="E90" t="str">
        <f t="shared" si="37"/>
        <v>2026-11</v>
      </c>
      <c r="F90">
        <f>AVERAGEIFS(Positions!$F:$F,Positions!$A:$A,A90)</f>
        <v>98430</v>
      </c>
      <c r="G90">
        <f t="shared" si="52"/>
        <v>63490704.75</v>
      </c>
      <c r="H90">
        <f t="shared" si="53"/>
        <v>98430</v>
      </c>
      <c r="I90">
        <f>VLOOKUP(F90,'Fee Schedule'!$D$5:$F$8,3,TRUE)</f>
        <v>35</v>
      </c>
      <c r="J90">
        <f>IFERROR(VLOOKUP(A90,'Fee Schedule'!$A$5:$B$21,2,FALSE),I90)</f>
        <v>35</v>
      </c>
      <c r="K90" t="str">
        <f>INDEX('Entity Map'!$C:$C,MATCH(A90,'Entity Map'!$A:$A,0))</f>
        <v>DubCo</v>
      </c>
      <c r="L90" t="str">
        <f>INDEX('Entity Map'!$D:$D,MATCH(A90,'Entity Map'!$A:$A,0))</f>
        <v>CC-150</v>
      </c>
      <c r="M90">
        <f t="shared" si="38"/>
        <v>344.51</v>
      </c>
      <c r="N90">
        <f t="shared" si="39"/>
        <v>30</v>
      </c>
      <c r="O90">
        <f t="shared" si="40"/>
        <v>30</v>
      </c>
      <c r="P90">
        <f t="shared" si="41"/>
        <v>344.51</v>
      </c>
      <c r="Q90">
        <f>MAX(P90,'Fee Schedule'!$I$3)</f>
        <v>750</v>
      </c>
      <c r="R90">
        <f>MIN(Q90,'Fee Schedule'!$I$4)</f>
        <v>750</v>
      </c>
      <c r="S90">
        <f>IFERROR(R90*'Fee Schedule'!$I$5,0)</f>
        <v>18.75</v>
      </c>
      <c r="T90">
        <f t="shared" si="42"/>
        <v>731.25</v>
      </c>
      <c r="U90">
        <f>IFERROR(VLOOKUP(A90,Overrides!$A:$C,3,FALSE),T90)</f>
        <v>731.25</v>
      </c>
      <c r="V90" t="str">
        <f t="shared" si="43"/>
        <v/>
      </c>
      <c r="W90" t="str">
        <f t="shared" si="44"/>
        <v>000-2026-11</v>
      </c>
      <c r="X90">
        <f>COUNTIFS(Positions!$A:$A,A90)</f>
        <v>2</v>
      </c>
      <c r="Y90">
        <f>SUM($U$19:U90)</f>
        <v>6471015.3899999997</v>
      </c>
      <c r="Z90" t="str">
        <f>UPPER(TRIM(INDEX('Entity Map'!$E:$E,MATCH(A90,'Entity Map'!$A:$A,0))))</f>
        <v>FIXED INCOME</v>
      </c>
      <c r="AA90">
        <f>SUMIFS(Positions!$F:$F,Positions!$E:$E,Z90)</f>
        <v>2496645976.4000001</v>
      </c>
      <c r="AB90">
        <f t="shared" si="45"/>
        <v>3.9424892808362689E-5</v>
      </c>
      <c r="AC90">
        <f>SUMPRODUCT(Positions!$F$18:$F$185,--(Positions!$A$18:$A$185=A90))</f>
        <v>196860</v>
      </c>
      <c r="AD90" t="str">
        <f t="shared" si="46"/>
        <v>C</v>
      </c>
      <c r="AE90">
        <f>COUNTIF('Entity Map'!$A:$A,A90)</f>
        <v>1</v>
      </c>
      <c r="AF90">
        <f>MAX(Positions!$C:$C)</f>
        <v>46354</v>
      </c>
      <c r="AG90">
        <f t="shared" si="47"/>
        <v>2026</v>
      </c>
      <c r="AH90">
        <f t="shared" si="48"/>
        <v>255.92</v>
      </c>
      <c r="AI90">
        <f t="shared" si="49"/>
        <v>-475.33000000000004</v>
      </c>
      <c r="AJ90">
        <f t="shared" si="50"/>
        <v>-461.07010000000002</v>
      </c>
      <c r="AK90" t="str">
        <f t="shared" si="51"/>
        <v>00072 / -461.07</v>
      </c>
    </row>
    <row r="91" spans="1:37" x14ac:dyDescent="0.35">
      <c r="A91" t="s">
        <v>169</v>
      </c>
      <c r="B91" t="str">
        <f>INDEX('Entity Map'!$B:$B,MATCH(A91,'Entity Map'!$A:$A,0))</f>
        <v>Client 073 Holdings</v>
      </c>
      <c r="C91">
        <f>INDEX('Entity Map'!$F:$F,MATCH(A91,'Entity Map'!$A:$A,0))</f>
        <v>45370</v>
      </c>
      <c r="D91">
        <f t="shared" si="36"/>
        <v>46327</v>
      </c>
      <c r="E91" t="str">
        <f t="shared" si="37"/>
        <v>2026-11</v>
      </c>
      <c r="F91">
        <f>AVERAGEIFS(Positions!$F:$F,Positions!$A:$A,A91)</f>
        <v>31317011.990000002</v>
      </c>
      <c r="G91">
        <f t="shared" si="52"/>
        <v>98430</v>
      </c>
      <c r="H91">
        <f t="shared" si="53"/>
        <v>31317011.990000002</v>
      </c>
      <c r="I91">
        <f>VLOOKUP(F91,'Fee Schedule'!$D$5:$F$8,3,TRUE)</f>
        <v>22</v>
      </c>
      <c r="J91">
        <f>IFERROR(VLOOKUP(A91,'Fee Schedule'!$A$5:$B$21,2,FALSE),I91)</f>
        <v>22</v>
      </c>
      <c r="K91" t="str">
        <f>INDEX('Entity Map'!$C:$C,MATCH(A91,'Entity Map'!$A:$A,0))</f>
        <v>LuxCo</v>
      </c>
      <c r="L91" t="str">
        <f>INDEX('Entity Map'!$D:$D,MATCH(A91,'Entity Map'!$A:$A,0))</f>
        <v>CC-100</v>
      </c>
      <c r="M91">
        <f t="shared" si="38"/>
        <v>68897.429999999993</v>
      </c>
      <c r="N91">
        <f t="shared" si="39"/>
        <v>30</v>
      </c>
      <c r="O91">
        <f t="shared" si="40"/>
        <v>30</v>
      </c>
      <c r="P91">
        <f t="shared" si="41"/>
        <v>68897.429999999993</v>
      </c>
      <c r="Q91">
        <f>MAX(P91,'Fee Schedule'!$I$3)</f>
        <v>68897.429999999993</v>
      </c>
      <c r="R91">
        <f>MIN(Q91,'Fee Schedule'!$I$4)</f>
        <v>68897.429999999993</v>
      </c>
      <c r="S91">
        <f>IFERROR(R91*'Fee Schedule'!$I$5,0)</f>
        <v>1722.4357499999999</v>
      </c>
      <c r="T91">
        <f t="shared" si="42"/>
        <v>67174.990000000005</v>
      </c>
      <c r="U91">
        <f>IFERROR(VLOOKUP(A91,Overrides!$A:$C,3,FALSE),T91)</f>
        <v>67174.990000000005</v>
      </c>
      <c r="V91" t="str">
        <f t="shared" si="43"/>
        <v/>
      </c>
      <c r="W91" t="str">
        <f t="shared" si="44"/>
        <v>000-2026-11</v>
      </c>
      <c r="X91">
        <f>COUNTIFS(Positions!$A:$A,A91)</f>
        <v>2</v>
      </c>
      <c r="Y91">
        <f>SUM($U$19:U91)</f>
        <v>6538190.3799999999</v>
      </c>
      <c r="Z91" t="str">
        <f>UPPER(TRIM(INDEX('Entity Map'!$E:$E,MATCH(A91,'Entity Map'!$A:$A,0))))</f>
        <v>BALANCED</v>
      </c>
      <c r="AA91">
        <f>SUMIFS(Positions!$F:$F,Positions!$E:$E,Z91)</f>
        <v>2420753390.7000003</v>
      </c>
      <c r="AB91">
        <f t="shared" si="45"/>
        <v>1.293688655371218E-2</v>
      </c>
      <c r="AC91">
        <f>SUMPRODUCT(Positions!$F$18:$F$185,--(Positions!$A$18:$A$185=A91))</f>
        <v>62634023.980000004</v>
      </c>
      <c r="AD91" t="str">
        <f t="shared" si="46"/>
        <v>A</v>
      </c>
      <c r="AE91">
        <f>COUNTIF('Entity Map'!$A:$A,A91)</f>
        <v>1</v>
      </c>
      <c r="AF91">
        <f>MAX(Positions!$C:$C)</f>
        <v>46354</v>
      </c>
      <c r="AG91">
        <f t="shared" si="47"/>
        <v>2026</v>
      </c>
      <c r="AH91">
        <f t="shared" si="48"/>
        <v>81424.23</v>
      </c>
      <c r="AI91">
        <f t="shared" si="49"/>
        <v>14249.239999999991</v>
      </c>
      <c r="AJ91">
        <f t="shared" si="50"/>
        <v>13821.762799999991</v>
      </c>
      <c r="AK91" t="str">
        <f t="shared" si="51"/>
        <v>00073 / 13821.76</v>
      </c>
    </row>
    <row r="92" spans="1:37" x14ac:dyDescent="0.35">
      <c r="A92" t="s">
        <v>171</v>
      </c>
      <c r="B92" t="str">
        <f>INDEX('Entity Map'!$B:$B,MATCH(A92,'Entity Map'!$A:$A,0))</f>
        <v>Client 074 Holdings</v>
      </c>
      <c r="C92">
        <f>INDEX('Entity Map'!$F:$F,MATCH(A92,'Entity Map'!$A:$A,0))</f>
        <v>45371</v>
      </c>
      <c r="D92">
        <f t="shared" si="36"/>
        <v>46327</v>
      </c>
      <c r="E92" t="str">
        <f t="shared" si="37"/>
        <v>2026-11</v>
      </c>
      <c r="F92">
        <f>AVERAGEIFS(Positions!$F:$F,Positions!$A:$A,A92)</f>
        <v>50813158.774999999</v>
      </c>
      <c r="G92">
        <f t="shared" si="52"/>
        <v>31317011.990000002</v>
      </c>
      <c r="H92">
        <f t="shared" si="53"/>
        <v>50813158.774999999</v>
      </c>
      <c r="I92">
        <f>VLOOKUP(F92,'Fee Schedule'!$D$5:$F$8,3,TRUE)</f>
        <v>18.5</v>
      </c>
      <c r="J92">
        <f>IFERROR(VLOOKUP(A92,'Fee Schedule'!$A$5:$B$21,2,FALSE),I92)</f>
        <v>18.5</v>
      </c>
      <c r="K92" t="str">
        <f>INDEX('Entity Map'!$C:$C,MATCH(A92,'Entity Map'!$A:$A,0))</f>
        <v>UKCo</v>
      </c>
      <c r="L92" t="str">
        <f>INDEX('Entity Map'!$D:$D,MATCH(A92,'Entity Map'!$A:$A,0))</f>
        <v>CC-110</v>
      </c>
      <c r="M92">
        <f t="shared" si="38"/>
        <v>94004.34</v>
      </c>
      <c r="N92">
        <f t="shared" si="39"/>
        <v>30</v>
      </c>
      <c r="O92">
        <f t="shared" si="40"/>
        <v>30</v>
      </c>
      <c r="P92">
        <f t="shared" si="41"/>
        <v>94004.34</v>
      </c>
      <c r="Q92">
        <f>MAX(P92,'Fee Schedule'!$I$3)</f>
        <v>94004.34</v>
      </c>
      <c r="R92">
        <f>MIN(Q92,'Fee Schedule'!$I$4)</f>
        <v>94004.34</v>
      </c>
      <c r="S92">
        <f>IFERROR(R92*'Fee Schedule'!$I$5,0)</f>
        <v>2350.1084999999998</v>
      </c>
      <c r="T92">
        <f t="shared" si="42"/>
        <v>91654.23</v>
      </c>
      <c r="U92">
        <f>IFERROR(VLOOKUP(A92,Overrides!$A:$C,3,FALSE),T92)</f>
        <v>91654.23</v>
      </c>
      <c r="V92" t="str">
        <f t="shared" si="43"/>
        <v/>
      </c>
      <c r="W92" t="str">
        <f t="shared" si="44"/>
        <v>000-2026-11</v>
      </c>
      <c r="X92">
        <f>COUNTIFS(Positions!$A:$A,A92)</f>
        <v>2</v>
      </c>
      <c r="Y92">
        <f>SUM($U$19:U92)</f>
        <v>6629844.6100000003</v>
      </c>
      <c r="Z92" t="str">
        <f>UPPER(TRIM(INDEX('Entity Map'!$E:$E,MATCH(A92,'Entity Map'!$A:$A,0))))</f>
        <v>EQUITY</v>
      </c>
      <c r="AA92">
        <f>SUMIFS(Positions!$F:$F,Positions!$E:$E,Z92)</f>
        <v>2806311623.6099992</v>
      </c>
      <c r="AB92">
        <f t="shared" si="45"/>
        <v>1.8106741370951054E-2</v>
      </c>
      <c r="AC92">
        <f>SUMPRODUCT(Positions!$F$18:$F$185,--(Positions!$A$18:$A$185=A92))</f>
        <v>101626317.55</v>
      </c>
      <c r="AD92" t="str">
        <f t="shared" si="46"/>
        <v>A</v>
      </c>
      <c r="AE92">
        <f>COUNTIF('Entity Map'!$A:$A,A92)</f>
        <v>1</v>
      </c>
      <c r="AF92">
        <f>MAX(Positions!$C:$C)</f>
        <v>46354</v>
      </c>
      <c r="AG92">
        <f t="shared" si="47"/>
        <v>2026</v>
      </c>
      <c r="AH92">
        <f t="shared" si="48"/>
        <v>132114.21</v>
      </c>
      <c r="AI92">
        <f t="shared" si="49"/>
        <v>40459.979999999996</v>
      </c>
      <c r="AJ92">
        <f t="shared" si="50"/>
        <v>39246.180599999992</v>
      </c>
      <c r="AK92" t="str">
        <f t="shared" si="51"/>
        <v>00074 / 39246.18</v>
      </c>
    </row>
    <row r="93" spans="1:37" x14ac:dyDescent="0.35">
      <c r="A93" t="s">
        <v>173</v>
      </c>
      <c r="B93" t="str">
        <f>INDEX('Entity Map'!$B:$B,MATCH(A93,'Entity Map'!$A:$A,0))</f>
        <v>Client 075 Holdings</v>
      </c>
      <c r="C93">
        <f>INDEX('Entity Map'!$F:$F,MATCH(A93,'Entity Map'!$A:$A,0))</f>
        <v>45372</v>
      </c>
      <c r="D93">
        <f t="shared" si="36"/>
        <v>46327</v>
      </c>
      <c r="E93" t="str">
        <f t="shared" si="37"/>
        <v>2026-11</v>
      </c>
      <c r="F93">
        <f>AVERAGEIFS(Positions!$F:$F,Positions!$A:$A,A93)</f>
        <v>67956295.590000004</v>
      </c>
      <c r="G93">
        <f t="shared" si="52"/>
        <v>50813158.774999999</v>
      </c>
      <c r="H93">
        <f t="shared" si="53"/>
        <v>67956295.590000004</v>
      </c>
      <c r="I93">
        <f>VLOOKUP(F93,'Fee Schedule'!$D$5:$F$8,3,TRUE)</f>
        <v>18.5</v>
      </c>
      <c r="J93">
        <f>IFERROR(VLOOKUP(A93,'Fee Schedule'!$A$5:$B$21,2,FALSE),I93)</f>
        <v>18.5</v>
      </c>
      <c r="K93" t="str">
        <f>INDEX('Entity Map'!$C:$C,MATCH(A93,'Entity Map'!$A:$A,0))</f>
        <v>DubCo</v>
      </c>
      <c r="L93" t="str">
        <f>INDEX('Entity Map'!$D:$D,MATCH(A93,'Entity Map'!$A:$A,0))</f>
        <v>CC-120</v>
      </c>
      <c r="M93">
        <f t="shared" si="38"/>
        <v>125719.15</v>
      </c>
      <c r="N93">
        <f t="shared" si="39"/>
        <v>30</v>
      </c>
      <c r="O93">
        <f t="shared" si="40"/>
        <v>30</v>
      </c>
      <c r="P93">
        <f t="shared" si="41"/>
        <v>125719.15</v>
      </c>
      <c r="Q93">
        <f>MAX(P93,'Fee Schedule'!$I$3)</f>
        <v>125719.15</v>
      </c>
      <c r="R93">
        <f>MIN(Q93,'Fee Schedule'!$I$4)</f>
        <v>125719.15</v>
      </c>
      <c r="S93">
        <f>IFERROR(R93*'Fee Schedule'!$I$5,0)</f>
        <v>3142.9787500000002</v>
      </c>
      <c r="T93">
        <f t="shared" si="42"/>
        <v>122576.17</v>
      </c>
      <c r="U93">
        <f>IFERROR(VLOOKUP(A93,Overrides!$A:$C,3,FALSE),T93)</f>
        <v>122576.17</v>
      </c>
      <c r="V93" t="str">
        <f t="shared" si="43"/>
        <v/>
      </c>
      <c r="W93" t="str">
        <f t="shared" si="44"/>
        <v>000-2026-11</v>
      </c>
      <c r="X93">
        <f>COUNTIFS(Positions!$A:$A,A93)</f>
        <v>2</v>
      </c>
      <c r="Y93">
        <f>SUM($U$19:U93)</f>
        <v>6752420.7800000003</v>
      </c>
      <c r="Z93" t="str">
        <f>UPPER(TRIM(INDEX('Entity Map'!$E:$E,MATCH(A93,'Entity Map'!$A:$A,0))))</f>
        <v>FIXED INCOME</v>
      </c>
      <c r="AA93">
        <f>SUMIFS(Positions!$F:$F,Positions!$E:$E,Z93)</f>
        <v>2496645976.4000001</v>
      </c>
      <c r="AB93">
        <f t="shared" si="45"/>
        <v>2.7219035551042974E-2</v>
      </c>
      <c r="AC93">
        <f>SUMPRODUCT(Positions!$F$18:$F$185,--(Positions!$A$18:$A$185=A93))</f>
        <v>135912591.18000001</v>
      </c>
      <c r="AD93" t="str">
        <f t="shared" si="46"/>
        <v>A</v>
      </c>
      <c r="AE93">
        <f>COUNTIF('Entity Map'!$A:$A,A93)</f>
        <v>1</v>
      </c>
      <c r="AF93">
        <f>MAX(Positions!$C:$C)</f>
        <v>46354</v>
      </c>
      <c r="AG93">
        <f t="shared" si="47"/>
        <v>2026</v>
      </c>
      <c r="AH93">
        <f t="shared" si="48"/>
        <v>176686.37</v>
      </c>
      <c r="AI93">
        <f t="shared" si="49"/>
        <v>54110.2</v>
      </c>
      <c r="AJ93">
        <f t="shared" si="50"/>
        <v>52486.893999999993</v>
      </c>
      <c r="AK93" t="str">
        <f t="shared" si="51"/>
        <v>00075 / 52486.89</v>
      </c>
    </row>
    <row r="94" spans="1:37" x14ac:dyDescent="0.35">
      <c r="A94" t="s">
        <v>175</v>
      </c>
      <c r="B94" t="str">
        <f>INDEX('Entity Map'!$B:$B,MATCH(A94,'Entity Map'!$A:$A,0))</f>
        <v>Client 076 Holdings</v>
      </c>
      <c r="C94">
        <f>INDEX('Entity Map'!$F:$F,MATCH(A94,'Entity Map'!$A:$A,0))</f>
        <v>45373</v>
      </c>
      <c r="D94">
        <f t="shared" si="36"/>
        <v>46327</v>
      </c>
      <c r="E94" t="str">
        <f t="shared" si="37"/>
        <v>2026-11</v>
      </c>
      <c r="F94">
        <f>AVERAGEIFS(Positions!$F:$F,Positions!$A:$A,A94)</f>
        <v>86657089.605000004</v>
      </c>
      <c r="G94">
        <f t="shared" si="52"/>
        <v>67956295.590000004</v>
      </c>
      <c r="H94">
        <f t="shared" si="53"/>
        <v>86657089.605000004</v>
      </c>
      <c r="I94">
        <f>VLOOKUP(F94,'Fee Schedule'!$D$5:$F$8,3,TRUE)</f>
        <v>18.5</v>
      </c>
      <c r="J94" t="str">
        <f>IFERROR(VLOOKUP(A94,'Fee Schedule'!$A$5:$B$21,2,FALSE),I94)</f>
        <v>24.5</v>
      </c>
      <c r="K94" t="str">
        <f>INDEX('Entity Map'!$C:$C,MATCH(A94,'Entity Map'!$A:$A,0))</f>
        <v>LuxCo</v>
      </c>
      <c r="L94" t="str">
        <f>INDEX('Entity Map'!$D:$D,MATCH(A94,'Entity Map'!$A:$A,0))</f>
        <v>CC-130</v>
      </c>
      <c r="M94">
        <f t="shared" si="38"/>
        <v>212309.87</v>
      </c>
      <c r="N94">
        <f t="shared" si="39"/>
        <v>30</v>
      </c>
      <c r="O94">
        <f t="shared" si="40"/>
        <v>30</v>
      </c>
      <c r="P94">
        <f t="shared" si="41"/>
        <v>212309.87</v>
      </c>
      <c r="Q94">
        <f>MAX(P94,'Fee Schedule'!$I$3)</f>
        <v>212309.87</v>
      </c>
      <c r="R94">
        <f>MIN(Q94,'Fee Schedule'!$I$4)</f>
        <v>212309.87</v>
      </c>
      <c r="S94">
        <f>IFERROR(R94*'Fee Schedule'!$I$5,0)</f>
        <v>5307.7467500000002</v>
      </c>
      <c r="T94">
        <f t="shared" si="42"/>
        <v>207002.12</v>
      </c>
      <c r="U94">
        <f>IFERROR(VLOOKUP(A94,Overrides!$A:$C,3,FALSE),T94)</f>
        <v>207002.12</v>
      </c>
      <c r="V94" t="str">
        <f t="shared" si="43"/>
        <v/>
      </c>
      <c r="W94" t="str">
        <f t="shared" si="44"/>
        <v>000-2026-11</v>
      </c>
      <c r="X94">
        <f>COUNTIFS(Positions!$A:$A,A94)</f>
        <v>2</v>
      </c>
      <c r="Y94">
        <f>SUM($U$19:U94)</f>
        <v>6959422.9000000004</v>
      </c>
      <c r="Z94" t="str">
        <f>UPPER(TRIM(INDEX('Entity Map'!$E:$E,MATCH(A94,'Entity Map'!$A:$A,0))))</f>
        <v>BALANCED</v>
      </c>
      <c r="AA94">
        <f>SUMIFS(Positions!$F:$F,Positions!$E:$E,Z94)</f>
        <v>2420753390.7000003</v>
      </c>
      <c r="AB94">
        <f t="shared" si="45"/>
        <v>3.5797570267965914E-2</v>
      </c>
      <c r="AC94">
        <f>SUMPRODUCT(Positions!$F$18:$F$185,--(Positions!$A$18:$A$185=A94))</f>
        <v>173314179.21000001</v>
      </c>
      <c r="AD94" t="str">
        <f t="shared" si="46"/>
        <v>A</v>
      </c>
      <c r="AE94">
        <f>COUNTIF('Entity Map'!$A:$A,A94)</f>
        <v>1</v>
      </c>
      <c r="AF94">
        <f>MAX(Positions!$C:$C)</f>
        <v>46354</v>
      </c>
      <c r="AG94">
        <f t="shared" si="47"/>
        <v>2026</v>
      </c>
      <c r="AH94">
        <f t="shared" si="48"/>
        <v>225308.43</v>
      </c>
      <c r="AI94">
        <f t="shared" si="49"/>
        <v>18306.309999999998</v>
      </c>
      <c r="AJ94">
        <f t="shared" si="50"/>
        <v>17757.120699999996</v>
      </c>
      <c r="AK94" t="str">
        <f t="shared" si="51"/>
        <v>00076 / 17757.12</v>
      </c>
    </row>
    <row r="95" spans="1:37" x14ac:dyDescent="0.35">
      <c r="A95" t="s">
        <v>177</v>
      </c>
      <c r="B95" t="str">
        <f>INDEX('Entity Map'!$B:$B,MATCH(A95,'Entity Map'!$A:$A,0))</f>
        <v>Client 077 Holdings</v>
      </c>
      <c r="C95">
        <f>INDEX('Entity Map'!$F:$F,MATCH(A95,'Entity Map'!$A:$A,0))</f>
        <v>45374</v>
      </c>
      <c r="D95">
        <f t="shared" si="36"/>
        <v>46327</v>
      </c>
      <c r="E95" t="str">
        <f t="shared" si="37"/>
        <v>2026-11</v>
      </c>
      <c r="F95">
        <f>AVERAGEIFS(Positions!$F:$F,Positions!$A:$A,A95)</f>
        <v>3720450.68</v>
      </c>
      <c r="G95">
        <f t="shared" si="52"/>
        <v>86657089.605000004</v>
      </c>
      <c r="H95">
        <f t="shared" si="53"/>
        <v>3720450.68</v>
      </c>
      <c r="I95">
        <f>VLOOKUP(F95,'Fee Schedule'!$D$5:$F$8,3,TRUE)</f>
        <v>35</v>
      </c>
      <c r="J95">
        <f>IFERROR(VLOOKUP(A95,'Fee Schedule'!$A$5:$B$21,2,FALSE),I95)</f>
        <v>35</v>
      </c>
      <c r="K95" t="str">
        <f>INDEX('Entity Map'!$C:$C,MATCH(A95,'Entity Map'!$A:$A,0))</f>
        <v>UKCo</v>
      </c>
      <c r="L95" t="str">
        <f>INDEX('Entity Map'!$D:$D,MATCH(A95,'Entity Map'!$A:$A,0))</f>
        <v>CC-140</v>
      </c>
      <c r="M95">
        <f t="shared" si="38"/>
        <v>13021.58</v>
      </c>
      <c r="N95">
        <f t="shared" si="39"/>
        <v>30</v>
      </c>
      <c r="O95">
        <f t="shared" si="40"/>
        <v>30</v>
      </c>
      <c r="P95">
        <f t="shared" si="41"/>
        <v>13021.58</v>
      </c>
      <c r="Q95">
        <f>MAX(P95,'Fee Schedule'!$I$3)</f>
        <v>13021.58</v>
      </c>
      <c r="R95">
        <f>MIN(Q95,'Fee Schedule'!$I$4)</f>
        <v>13021.58</v>
      </c>
      <c r="S95">
        <f>IFERROR(R95*'Fee Schedule'!$I$5,0)</f>
        <v>325.53950000000003</v>
      </c>
      <c r="T95">
        <f t="shared" si="42"/>
        <v>12696.04</v>
      </c>
      <c r="U95">
        <f>IFERROR(VLOOKUP(A95,Overrides!$A:$C,3,FALSE),T95)</f>
        <v>12696.04</v>
      </c>
      <c r="V95" t="str">
        <f t="shared" si="43"/>
        <v/>
      </c>
      <c r="W95" t="str">
        <f t="shared" si="44"/>
        <v>000-2026-11</v>
      </c>
      <c r="X95">
        <f>COUNTIFS(Positions!$A:$A,A95)</f>
        <v>2</v>
      </c>
      <c r="Y95">
        <f>SUM($U$19:U95)</f>
        <v>6972118.9400000004</v>
      </c>
      <c r="Z95" t="str">
        <f>UPPER(TRIM(INDEX('Entity Map'!$E:$E,MATCH(A95,'Entity Map'!$A:$A,0))))</f>
        <v>EQUITY</v>
      </c>
      <c r="AA95">
        <f>SUMIFS(Positions!$F:$F,Positions!$E:$E,Z95)</f>
        <v>2806311623.6099992</v>
      </c>
      <c r="AB95">
        <f t="shared" si="45"/>
        <v>1.3257439582615082E-3</v>
      </c>
      <c r="AC95">
        <f>SUMPRODUCT(Positions!$F$18:$F$185,--(Positions!$A$18:$A$185=A95))</f>
        <v>7440901.3600000003</v>
      </c>
      <c r="AD95" t="str">
        <f t="shared" si="46"/>
        <v>B</v>
      </c>
      <c r="AE95">
        <f>COUNTIF('Entity Map'!$A:$A,A95)</f>
        <v>1</v>
      </c>
      <c r="AF95">
        <f>MAX(Positions!$C:$C)</f>
        <v>46354</v>
      </c>
      <c r="AG95">
        <f t="shared" si="47"/>
        <v>2026</v>
      </c>
      <c r="AH95">
        <f t="shared" si="48"/>
        <v>9673.17</v>
      </c>
      <c r="AI95">
        <f t="shared" si="49"/>
        <v>-3022.8700000000008</v>
      </c>
      <c r="AJ95">
        <f t="shared" si="50"/>
        <v>-2932.1839000000009</v>
      </c>
      <c r="AK95" t="str">
        <f t="shared" si="51"/>
        <v>00077 / -2932.18</v>
      </c>
    </row>
    <row r="96" spans="1:37" x14ac:dyDescent="0.35">
      <c r="A96" t="s">
        <v>179</v>
      </c>
      <c r="B96" t="str">
        <f>INDEX('Entity Map'!$B:$B,MATCH(A96,'Entity Map'!$A:$A,0))</f>
        <v>Client 078 Holdings</v>
      </c>
      <c r="C96">
        <f>INDEX('Entity Map'!$F:$F,MATCH(A96,'Entity Map'!$A:$A,0))</f>
        <v>45375</v>
      </c>
      <c r="D96">
        <f t="shared" si="36"/>
        <v>46327</v>
      </c>
      <c r="E96" t="str">
        <f t="shared" si="37"/>
        <v>2026-11</v>
      </c>
      <c r="F96">
        <f>AVERAGEIFS(Positions!$F:$F,Positions!$A:$A,A96)</f>
        <v>55651596.655000001</v>
      </c>
      <c r="G96">
        <f t="shared" si="52"/>
        <v>3720450.68</v>
      </c>
      <c r="H96">
        <f t="shared" si="53"/>
        <v>55651596.655000001</v>
      </c>
      <c r="I96">
        <f>VLOOKUP(F96,'Fee Schedule'!$D$5:$F$8,3,TRUE)</f>
        <v>18.5</v>
      </c>
      <c r="J96">
        <f>IFERROR(VLOOKUP(A96,'Fee Schedule'!$A$5:$B$21,2,FALSE),I96)</f>
        <v>18.5</v>
      </c>
      <c r="K96" t="str">
        <f>INDEX('Entity Map'!$C:$C,MATCH(A96,'Entity Map'!$A:$A,0))</f>
        <v>DubCo</v>
      </c>
      <c r="L96" t="str">
        <f>INDEX('Entity Map'!$D:$D,MATCH(A96,'Entity Map'!$A:$A,0))</f>
        <v>CC-150</v>
      </c>
      <c r="M96">
        <f t="shared" si="38"/>
        <v>102955.45</v>
      </c>
      <c r="N96">
        <f t="shared" si="39"/>
        <v>30</v>
      </c>
      <c r="O96">
        <f t="shared" si="40"/>
        <v>30</v>
      </c>
      <c r="P96">
        <f t="shared" si="41"/>
        <v>102955.45</v>
      </c>
      <c r="Q96">
        <f>MAX(P96,'Fee Schedule'!$I$3)</f>
        <v>102955.45</v>
      </c>
      <c r="R96">
        <f>MIN(Q96,'Fee Schedule'!$I$4)</f>
        <v>102955.45</v>
      </c>
      <c r="S96">
        <f>IFERROR(R96*'Fee Schedule'!$I$5,0)</f>
        <v>2573.88625</v>
      </c>
      <c r="T96">
        <f t="shared" si="42"/>
        <v>100381.56</v>
      </c>
      <c r="U96">
        <f>IFERROR(VLOOKUP(A96,Overrides!$A:$C,3,FALSE),T96)</f>
        <v>100381.56</v>
      </c>
      <c r="V96" t="str">
        <f t="shared" si="43"/>
        <v/>
      </c>
      <c r="W96" t="str">
        <f t="shared" si="44"/>
        <v>000-2026-11</v>
      </c>
      <c r="X96">
        <f>COUNTIFS(Positions!$A:$A,A96)</f>
        <v>2</v>
      </c>
      <c r="Y96">
        <f>SUM($U$19:U96)</f>
        <v>7072500.5</v>
      </c>
      <c r="Z96" t="str">
        <f>UPPER(TRIM(INDEX('Entity Map'!$E:$E,MATCH(A96,'Entity Map'!$A:$A,0))))</f>
        <v>FIXED INCOME</v>
      </c>
      <c r="AA96">
        <f>SUMIFS(Positions!$F:$F,Positions!$E:$E,Z96)</f>
        <v>2496645976.4000001</v>
      </c>
      <c r="AB96">
        <f t="shared" si="45"/>
        <v>2.2290543866073459E-2</v>
      </c>
      <c r="AC96">
        <f>SUMPRODUCT(Positions!$F$18:$F$185,--(Positions!$A$18:$A$185=A96))</f>
        <v>111303193.31</v>
      </c>
      <c r="AD96" t="str">
        <f t="shared" si="46"/>
        <v>A</v>
      </c>
      <c r="AE96">
        <f>COUNTIF('Entity Map'!$A:$A,A96)</f>
        <v>1</v>
      </c>
      <c r="AF96">
        <f>MAX(Positions!$C:$C)</f>
        <v>46354</v>
      </c>
      <c r="AG96">
        <f t="shared" si="47"/>
        <v>2026</v>
      </c>
      <c r="AH96">
        <f t="shared" si="48"/>
        <v>144694.15</v>
      </c>
      <c r="AI96">
        <f t="shared" si="49"/>
        <v>44312.59</v>
      </c>
      <c r="AJ96">
        <f t="shared" si="50"/>
        <v>42983.212299999992</v>
      </c>
      <c r="AK96" t="str">
        <f t="shared" si="51"/>
        <v>00078 / 42983.21</v>
      </c>
    </row>
    <row r="97" spans="1:37" x14ac:dyDescent="0.35">
      <c r="A97" t="s">
        <v>181</v>
      </c>
      <c r="B97" t="str">
        <f>INDEX('Entity Map'!$B:$B,MATCH(A97,'Entity Map'!$A:$A,0))</f>
        <v>Client 079 Holdings</v>
      </c>
      <c r="C97">
        <f>INDEX('Entity Map'!$F:$F,MATCH(A97,'Entity Map'!$A:$A,0))</f>
        <v>45376</v>
      </c>
      <c r="D97">
        <f t="shared" si="36"/>
        <v>46327</v>
      </c>
      <c r="E97" t="str">
        <f t="shared" si="37"/>
        <v>2026-11</v>
      </c>
      <c r="F97">
        <f>AVERAGEIFS(Positions!$F:$F,Positions!$A:$A,A97)</f>
        <v>77097579.435000002</v>
      </c>
      <c r="G97">
        <f t="shared" si="52"/>
        <v>55651596.655000001</v>
      </c>
      <c r="H97">
        <f t="shared" si="53"/>
        <v>77097579.435000002</v>
      </c>
      <c r="I97">
        <f>VLOOKUP(F97,'Fee Schedule'!$D$5:$F$8,3,TRUE)</f>
        <v>18.5</v>
      </c>
      <c r="J97">
        <f>IFERROR(VLOOKUP(A97,'Fee Schedule'!$A$5:$B$21,2,FALSE),I97)</f>
        <v>18.5</v>
      </c>
      <c r="K97" t="str">
        <f>INDEX('Entity Map'!$C:$C,MATCH(A97,'Entity Map'!$A:$A,0))</f>
        <v>LuxCo</v>
      </c>
      <c r="L97" t="str">
        <f>INDEX('Entity Map'!$D:$D,MATCH(A97,'Entity Map'!$A:$A,0))</f>
        <v>CC-100</v>
      </c>
      <c r="M97">
        <f t="shared" si="38"/>
        <v>142630.51999999999</v>
      </c>
      <c r="N97">
        <f t="shared" si="39"/>
        <v>30</v>
      </c>
      <c r="O97">
        <f t="shared" si="40"/>
        <v>30</v>
      </c>
      <c r="P97">
        <f t="shared" si="41"/>
        <v>142630.51999999999</v>
      </c>
      <c r="Q97">
        <f>MAX(P97,'Fee Schedule'!$I$3)</f>
        <v>142630.51999999999</v>
      </c>
      <c r="R97">
        <f>MIN(Q97,'Fee Schedule'!$I$4)</f>
        <v>142630.51999999999</v>
      </c>
      <c r="S97">
        <f>IFERROR(R97*'Fee Schedule'!$I$5,0)</f>
        <v>3565.7629999999999</v>
      </c>
      <c r="T97">
        <f t="shared" si="42"/>
        <v>139064.76</v>
      </c>
      <c r="U97">
        <f>IFERROR(VLOOKUP(A97,Overrides!$A:$C,3,FALSE),T97)</f>
        <v>139064.76</v>
      </c>
      <c r="V97" t="str">
        <f t="shared" si="43"/>
        <v/>
      </c>
      <c r="W97" t="str">
        <f t="shared" si="44"/>
        <v>000-2026-11</v>
      </c>
      <c r="X97">
        <f>COUNTIFS(Positions!$A:$A,A97)</f>
        <v>2</v>
      </c>
      <c r="Y97">
        <f>SUM($U$19:U97)</f>
        <v>7211565.2599999998</v>
      </c>
      <c r="Z97" t="str">
        <f>UPPER(TRIM(INDEX('Entity Map'!$E:$E,MATCH(A97,'Entity Map'!$A:$A,0))))</f>
        <v>BALANCED</v>
      </c>
      <c r="AA97">
        <f>SUMIFS(Positions!$F:$F,Positions!$E:$E,Z97)</f>
        <v>2420753390.7000003</v>
      </c>
      <c r="AB97">
        <f t="shared" si="45"/>
        <v>3.1848588844775295E-2</v>
      </c>
      <c r="AC97">
        <f>SUMPRODUCT(Positions!$F$18:$F$185,--(Positions!$A$18:$A$185=A97))</f>
        <v>154195158.87</v>
      </c>
      <c r="AD97" t="str">
        <f t="shared" si="46"/>
        <v>A</v>
      </c>
      <c r="AE97">
        <f>COUNTIF('Entity Map'!$A:$A,A97)</f>
        <v>1</v>
      </c>
      <c r="AF97">
        <f>MAX(Positions!$C:$C)</f>
        <v>46354</v>
      </c>
      <c r="AG97">
        <f t="shared" si="47"/>
        <v>2026</v>
      </c>
      <c r="AH97">
        <f t="shared" si="48"/>
        <v>200453.71</v>
      </c>
      <c r="AI97">
        <f t="shared" si="49"/>
        <v>61388.949999999983</v>
      </c>
      <c r="AJ97">
        <f t="shared" si="50"/>
        <v>59547.281499999983</v>
      </c>
      <c r="AK97" t="str">
        <f t="shared" si="51"/>
        <v>00079 / 59547.28</v>
      </c>
    </row>
    <row r="98" spans="1:37" x14ac:dyDescent="0.35">
      <c r="A98" t="s">
        <v>183</v>
      </c>
      <c r="B98" t="str">
        <f>INDEX('Entity Map'!$B:$B,MATCH(A98,'Entity Map'!$A:$A,0))</f>
        <v>Client 080 Holdings</v>
      </c>
      <c r="C98">
        <f>INDEX('Entity Map'!$F:$F,MATCH(A98,'Entity Map'!$A:$A,0))</f>
        <v>45377</v>
      </c>
      <c r="D98">
        <f t="shared" si="36"/>
        <v>46327</v>
      </c>
      <c r="E98" t="str">
        <f t="shared" si="37"/>
        <v>2026-11</v>
      </c>
      <c r="F98">
        <f>AVERAGEIFS(Positions!$F:$F,Positions!$A:$A,A98)</f>
        <v>65299241.859999999</v>
      </c>
      <c r="G98">
        <f t="shared" si="52"/>
        <v>77097579.435000002</v>
      </c>
      <c r="H98">
        <f t="shared" si="53"/>
        <v>65299241.859999999</v>
      </c>
      <c r="I98">
        <f>VLOOKUP(F98,'Fee Schedule'!$D$5:$F$8,3,TRUE)</f>
        <v>18.5</v>
      </c>
      <c r="J98">
        <f>IFERROR(VLOOKUP(A98,'Fee Schedule'!$A$5:$B$21,2,FALSE),I98)</f>
        <v>18.5</v>
      </c>
      <c r="K98" t="str">
        <f>INDEX('Entity Map'!$C:$C,MATCH(A98,'Entity Map'!$A:$A,0))</f>
        <v>UKCo</v>
      </c>
      <c r="L98" t="str">
        <f>INDEX('Entity Map'!$D:$D,MATCH(A98,'Entity Map'!$A:$A,0))</f>
        <v>CC-110</v>
      </c>
      <c r="M98">
        <f t="shared" si="38"/>
        <v>120803.6</v>
      </c>
      <c r="N98">
        <f t="shared" si="39"/>
        <v>30</v>
      </c>
      <c r="O98">
        <f t="shared" si="40"/>
        <v>30</v>
      </c>
      <c r="P98">
        <f t="shared" si="41"/>
        <v>120803.6</v>
      </c>
      <c r="Q98">
        <f>MAX(P98,'Fee Schedule'!$I$3)</f>
        <v>120803.6</v>
      </c>
      <c r="R98">
        <f>MIN(Q98,'Fee Schedule'!$I$4)</f>
        <v>120803.6</v>
      </c>
      <c r="S98">
        <f>IFERROR(R98*'Fee Schedule'!$I$5,0)</f>
        <v>3020.09</v>
      </c>
      <c r="T98">
        <f t="shared" si="42"/>
        <v>117783.51</v>
      </c>
      <c r="U98">
        <f>IFERROR(VLOOKUP(A98,Overrides!$A:$C,3,FALSE),T98)</f>
        <v>117783.51</v>
      </c>
      <c r="V98" t="str">
        <f t="shared" si="43"/>
        <v/>
      </c>
      <c r="W98" t="str">
        <f t="shared" si="44"/>
        <v>000-2026-11</v>
      </c>
      <c r="X98">
        <f>COUNTIFS(Positions!$A:$A,A98)</f>
        <v>2</v>
      </c>
      <c r="Y98">
        <f>SUM($U$19:U98)</f>
        <v>7329348.7699999996</v>
      </c>
      <c r="Z98" t="str">
        <f>UPPER(TRIM(INDEX('Entity Map'!$E:$E,MATCH(A98,'Entity Map'!$A:$A,0))))</f>
        <v>EQUITY</v>
      </c>
      <c r="AA98">
        <f>SUMIFS(Positions!$F:$F,Positions!$E:$E,Z98)</f>
        <v>2806311623.6099992</v>
      </c>
      <c r="AB98">
        <f t="shared" si="45"/>
        <v>2.3268706622110624E-2</v>
      </c>
      <c r="AC98">
        <f>SUMPRODUCT(Positions!$F$18:$F$185,--(Positions!$A$18:$A$185=A98))</f>
        <v>130598483.72</v>
      </c>
      <c r="AD98" t="str">
        <f t="shared" si="46"/>
        <v>A</v>
      </c>
      <c r="AE98">
        <f>COUNTIF('Entity Map'!$A:$A,A98)</f>
        <v>1</v>
      </c>
      <c r="AF98">
        <f>MAX(Positions!$C:$C)</f>
        <v>46354</v>
      </c>
      <c r="AG98">
        <f t="shared" si="47"/>
        <v>2026</v>
      </c>
      <c r="AH98">
        <f t="shared" si="48"/>
        <v>169778.03</v>
      </c>
      <c r="AI98">
        <f t="shared" si="49"/>
        <v>51994.520000000004</v>
      </c>
      <c r="AJ98">
        <f t="shared" si="50"/>
        <v>50434.684400000006</v>
      </c>
      <c r="AK98" t="str">
        <f t="shared" si="51"/>
        <v>00080 / 50434.68</v>
      </c>
    </row>
    <row r="99" spans="1:37" x14ac:dyDescent="0.35">
      <c r="A99" t="s">
        <v>185</v>
      </c>
      <c r="B99" t="str">
        <f>INDEX('Entity Map'!$B:$B,MATCH(A99,'Entity Map'!$A:$A,0))</f>
        <v>Client 081 Holdings</v>
      </c>
      <c r="C99">
        <f>INDEX('Entity Map'!$F:$F,MATCH(A99,'Entity Map'!$A:$A,0))</f>
        <v>45378</v>
      </c>
      <c r="D99">
        <f t="shared" si="36"/>
        <v>46327</v>
      </c>
      <c r="E99" t="str">
        <f t="shared" si="37"/>
        <v>2026-11</v>
      </c>
      <c r="F99">
        <f>AVERAGEIFS(Positions!$F:$F,Positions!$A:$A,A99)</f>
        <v>22743009.035</v>
      </c>
      <c r="G99">
        <f t="shared" si="52"/>
        <v>65299241.859999999</v>
      </c>
      <c r="H99">
        <f t="shared" si="53"/>
        <v>22743009.035</v>
      </c>
      <c r="I99">
        <f>VLOOKUP(F99,'Fee Schedule'!$D$5:$F$8,3,TRUE)</f>
        <v>22</v>
      </c>
      <c r="J99" t="str">
        <f>IFERROR(VLOOKUP(A99,'Fee Schedule'!$A$5:$B$21,2,FALSE),I99)</f>
        <v>32.0</v>
      </c>
      <c r="K99" t="str">
        <f>INDEX('Entity Map'!$C:$C,MATCH(A99,'Entity Map'!$A:$A,0))</f>
        <v>DubCo</v>
      </c>
      <c r="L99" t="str">
        <f>INDEX('Entity Map'!$D:$D,MATCH(A99,'Entity Map'!$A:$A,0))</f>
        <v>CC-120</v>
      </c>
      <c r="M99">
        <f t="shared" si="38"/>
        <v>72777.63</v>
      </c>
      <c r="N99">
        <f t="shared" si="39"/>
        <v>30</v>
      </c>
      <c r="O99">
        <f t="shared" si="40"/>
        <v>30</v>
      </c>
      <c r="P99">
        <f t="shared" si="41"/>
        <v>72777.63</v>
      </c>
      <c r="Q99">
        <f>MAX(P99,'Fee Schedule'!$I$3)</f>
        <v>72777.63</v>
      </c>
      <c r="R99">
        <f>MIN(Q99,'Fee Schedule'!$I$4)</f>
        <v>72777.63</v>
      </c>
      <c r="S99">
        <f>IFERROR(R99*'Fee Schedule'!$I$5,0)</f>
        <v>1819.4407500000002</v>
      </c>
      <c r="T99">
        <f t="shared" si="42"/>
        <v>70958.19</v>
      </c>
      <c r="U99">
        <f>IFERROR(VLOOKUP(A99,Overrides!$A:$C,3,FALSE),T99)</f>
        <v>70958.19</v>
      </c>
      <c r="V99" t="str">
        <f t="shared" si="43"/>
        <v/>
      </c>
      <c r="W99" t="str">
        <f t="shared" si="44"/>
        <v>000-2026-11</v>
      </c>
      <c r="X99">
        <f>COUNTIFS(Positions!$A:$A,A99)</f>
        <v>2</v>
      </c>
      <c r="Y99">
        <f>SUM($U$19:U99)</f>
        <v>7400306.96</v>
      </c>
      <c r="Z99" t="str">
        <f>UPPER(TRIM(INDEX('Entity Map'!$E:$E,MATCH(A99,'Entity Map'!$A:$A,0))))</f>
        <v>FIXED INCOME</v>
      </c>
      <c r="AA99">
        <f>SUMIFS(Positions!$F:$F,Positions!$E:$E,Z99)</f>
        <v>2496645976.4000001</v>
      </c>
      <c r="AB99">
        <f t="shared" si="45"/>
        <v>9.1094249044447739E-3</v>
      </c>
      <c r="AC99">
        <f>SUMPRODUCT(Positions!$F$18:$F$185,--(Positions!$A$18:$A$185=A99))</f>
        <v>45486018.07</v>
      </c>
      <c r="AD99" t="str">
        <f t="shared" si="46"/>
        <v>A</v>
      </c>
      <c r="AE99">
        <f>COUNTIF('Entity Map'!$A:$A,A99)</f>
        <v>1</v>
      </c>
      <c r="AF99">
        <f>MAX(Positions!$C:$C)</f>
        <v>46354</v>
      </c>
      <c r="AG99">
        <f t="shared" si="47"/>
        <v>2026</v>
      </c>
      <c r="AH99">
        <f t="shared" si="48"/>
        <v>59131.82</v>
      </c>
      <c r="AI99">
        <f t="shared" si="49"/>
        <v>-11826.370000000003</v>
      </c>
      <c r="AJ99">
        <f t="shared" si="50"/>
        <v>-11471.578900000002</v>
      </c>
      <c r="AK99" t="str">
        <f t="shared" si="51"/>
        <v>00081 / -11471.58</v>
      </c>
    </row>
    <row r="100" spans="1:37" x14ac:dyDescent="0.35">
      <c r="A100" t="s">
        <v>187</v>
      </c>
      <c r="B100" t="str">
        <f>INDEX('Entity Map'!$B:$B,MATCH(A100,'Entity Map'!$A:$A,0))</f>
        <v>Client 082 Holdings</v>
      </c>
      <c r="C100">
        <f>INDEX('Entity Map'!$F:$F,MATCH(A100,'Entity Map'!$A:$A,0))</f>
        <v>45352</v>
      </c>
      <c r="D100">
        <f t="shared" si="36"/>
        <v>46327</v>
      </c>
      <c r="E100" t="str">
        <f t="shared" si="37"/>
        <v>2026-11</v>
      </c>
      <c r="F100">
        <f>AVERAGEIFS(Positions!$F:$F,Positions!$A:$A,A100)</f>
        <v>28818397.200000003</v>
      </c>
      <c r="G100">
        <f t="shared" si="52"/>
        <v>22743009.035</v>
      </c>
      <c r="H100">
        <f t="shared" si="53"/>
        <v>28818397.200000003</v>
      </c>
      <c r="I100">
        <f>VLOOKUP(F100,'Fee Schedule'!$D$5:$F$8,3,TRUE)</f>
        <v>22</v>
      </c>
      <c r="J100">
        <f>IFERROR(VLOOKUP(A100,'Fee Schedule'!$A$5:$B$21,2,FALSE),I100)</f>
        <v>22</v>
      </c>
      <c r="K100" t="str">
        <f>INDEX('Entity Map'!$C:$C,MATCH(A100,'Entity Map'!$A:$A,0))</f>
        <v>LuxCo</v>
      </c>
      <c r="L100" t="str">
        <f>INDEX('Entity Map'!$D:$D,MATCH(A100,'Entity Map'!$A:$A,0))</f>
        <v>CC-130</v>
      </c>
      <c r="M100">
        <f t="shared" si="38"/>
        <v>63400.47</v>
      </c>
      <c r="N100">
        <f t="shared" si="39"/>
        <v>30</v>
      </c>
      <c r="O100">
        <f t="shared" si="40"/>
        <v>30</v>
      </c>
      <c r="P100">
        <f t="shared" si="41"/>
        <v>63400.47</v>
      </c>
      <c r="Q100">
        <f>MAX(P100,'Fee Schedule'!$I$3)</f>
        <v>63400.47</v>
      </c>
      <c r="R100">
        <f>MIN(Q100,'Fee Schedule'!$I$4)</f>
        <v>63400.47</v>
      </c>
      <c r="S100">
        <f>IFERROR(R100*'Fee Schedule'!$I$5,0)</f>
        <v>1585.0117500000001</v>
      </c>
      <c r="T100">
        <f t="shared" si="42"/>
        <v>61815.46</v>
      </c>
      <c r="U100">
        <f>IFERROR(VLOOKUP(A100,Overrides!$A:$C,3,FALSE),T100)</f>
        <v>61815.46</v>
      </c>
      <c r="V100" t="str">
        <f t="shared" si="43"/>
        <v/>
      </c>
      <c r="W100" t="str">
        <f t="shared" si="44"/>
        <v>000-2026-11</v>
      </c>
      <c r="X100">
        <f>COUNTIFS(Positions!$A:$A,A100)</f>
        <v>2</v>
      </c>
      <c r="Y100">
        <f>SUM($U$19:U100)</f>
        <v>7462122.4199999999</v>
      </c>
      <c r="Z100" t="str">
        <f>UPPER(TRIM(INDEX('Entity Map'!$E:$E,MATCH(A100,'Entity Map'!$A:$A,0))))</f>
        <v>BALANCED</v>
      </c>
      <c r="AA100">
        <f>SUMIFS(Positions!$F:$F,Positions!$E:$E,Z100)</f>
        <v>2420753390.7000003</v>
      </c>
      <c r="AB100">
        <f t="shared" si="45"/>
        <v>1.1904722435054277E-2</v>
      </c>
      <c r="AC100">
        <f>SUMPRODUCT(Positions!$F$18:$F$185,--(Positions!$A$18:$A$185=A100))</f>
        <v>57636794.400000006</v>
      </c>
      <c r="AD100" t="str">
        <f t="shared" si="46"/>
        <v>A</v>
      </c>
      <c r="AE100">
        <f>COUNTIF('Entity Map'!$A:$A,A100)</f>
        <v>1</v>
      </c>
      <c r="AF100">
        <f>MAX(Positions!$C:$C)</f>
        <v>46354</v>
      </c>
      <c r="AG100">
        <f t="shared" si="47"/>
        <v>2026</v>
      </c>
      <c r="AH100">
        <f t="shared" si="48"/>
        <v>74927.83</v>
      </c>
      <c r="AI100">
        <f t="shared" si="49"/>
        <v>13112.370000000003</v>
      </c>
      <c r="AJ100">
        <f t="shared" si="50"/>
        <v>12718.998900000002</v>
      </c>
      <c r="AK100" t="str">
        <f t="shared" si="51"/>
        <v>00082 / 12719.00</v>
      </c>
    </row>
    <row r="101" spans="1:37" x14ac:dyDescent="0.35">
      <c r="A101" t="s">
        <v>189</v>
      </c>
      <c r="B101" t="str">
        <f>INDEX('Entity Map'!$B:$B,MATCH(A101,'Entity Map'!$A:$A,0))</f>
        <v>Client 083 Holdings</v>
      </c>
      <c r="C101">
        <f>INDEX('Entity Map'!$F:$F,MATCH(A101,'Entity Map'!$A:$A,0))</f>
        <v>45353</v>
      </c>
      <c r="D101">
        <f t="shared" si="36"/>
        <v>46327</v>
      </c>
      <c r="E101" t="str">
        <f t="shared" si="37"/>
        <v>2026-11</v>
      </c>
      <c r="F101">
        <f>AVERAGEIFS(Positions!$F:$F,Positions!$A:$A,A101)</f>
        <v>55542239.75</v>
      </c>
      <c r="G101">
        <f t="shared" si="52"/>
        <v>28818397.200000003</v>
      </c>
      <c r="H101">
        <f t="shared" si="53"/>
        <v>55542239.75</v>
      </c>
      <c r="I101">
        <f>VLOOKUP(F101,'Fee Schedule'!$D$5:$F$8,3,TRUE)</f>
        <v>18.5</v>
      </c>
      <c r="J101">
        <f>IFERROR(VLOOKUP(A101,'Fee Schedule'!$A$5:$B$21,2,FALSE),I101)</f>
        <v>18.5</v>
      </c>
      <c r="K101" t="str">
        <f>INDEX('Entity Map'!$C:$C,MATCH(A101,'Entity Map'!$A:$A,0))</f>
        <v>UKCo</v>
      </c>
      <c r="L101" t="str">
        <f>INDEX('Entity Map'!$D:$D,MATCH(A101,'Entity Map'!$A:$A,0))</f>
        <v>CC-140</v>
      </c>
      <c r="M101">
        <f t="shared" si="38"/>
        <v>102753.14</v>
      </c>
      <c r="N101">
        <f t="shared" si="39"/>
        <v>30</v>
      </c>
      <c r="O101">
        <f t="shared" si="40"/>
        <v>30</v>
      </c>
      <c r="P101">
        <f t="shared" si="41"/>
        <v>102753.14</v>
      </c>
      <c r="Q101">
        <f>MAX(P101,'Fee Schedule'!$I$3)</f>
        <v>102753.14</v>
      </c>
      <c r="R101">
        <f>MIN(Q101,'Fee Schedule'!$I$4)</f>
        <v>102753.14</v>
      </c>
      <c r="S101">
        <f>IFERROR(R101*'Fee Schedule'!$I$5,0)</f>
        <v>2568.8285000000001</v>
      </c>
      <c r="T101">
        <f t="shared" si="42"/>
        <v>100184.31</v>
      </c>
      <c r="U101">
        <f>IFERROR(VLOOKUP(A101,Overrides!$A:$C,3,FALSE),T101)</f>
        <v>100184.31</v>
      </c>
      <c r="V101" t="str">
        <f t="shared" si="43"/>
        <v/>
      </c>
      <c r="W101" t="str">
        <f t="shared" si="44"/>
        <v>000-2026-11</v>
      </c>
      <c r="X101">
        <f>COUNTIFS(Positions!$A:$A,A101)</f>
        <v>2</v>
      </c>
      <c r="Y101">
        <f>SUM($U$19:U101)</f>
        <v>7562306.7300000004</v>
      </c>
      <c r="Z101" t="str">
        <f>UPPER(TRIM(INDEX('Entity Map'!$E:$E,MATCH(A101,'Entity Map'!$A:$A,0))))</f>
        <v>EQUITY</v>
      </c>
      <c r="AA101">
        <f>SUMIFS(Positions!$F:$F,Positions!$E:$E,Z101)</f>
        <v>2806311623.6099992</v>
      </c>
      <c r="AB101">
        <f t="shared" si="45"/>
        <v>1.9791900258942469E-2</v>
      </c>
      <c r="AC101">
        <f>SUMPRODUCT(Positions!$F$18:$F$185,--(Positions!$A$18:$A$185=A101))</f>
        <v>111084479.5</v>
      </c>
      <c r="AD101" t="str">
        <f t="shared" si="46"/>
        <v>A</v>
      </c>
      <c r="AE101">
        <f>COUNTIF('Entity Map'!$A:$A,A101)</f>
        <v>1</v>
      </c>
      <c r="AF101">
        <f>MAX(Positions!$C:$C)</f>
        <v>46354</v>
      </c>
      <c r="AG101">
        <f t="shared" si="47"/>
        <v>2026</v>
      </c>
      <c r="AH101">
        <f t="shared" si="48"/>
        <v>144409.82</v>
      </c>
      <c r="AI101">
        <f t="shared" si="49"/>
        <v>44225.510000000009</v>
      </c>
      <c r="AJ101">
        <f t="shared" si="50"/>
        <v>42898.74470000001</v>
      </c>
      <c r="AK101" t="str">
        <f t="shared" si="51"/>
        <v>00083 / 42898.74</v>
      </c>
    </row>
    <row r="102" spans="1:37" x14ac:dyDescent="0.35">
      <c r="A102" t="s">
        <v>191</v>
      </c>
      <c r="B102" t="str">
        <f>INDEX('Entity Map'!$B:$B,MATCH(A102,'Entity Map'!$A:$A,0))</f>
        <v>Client 084 Holdings</v>
      </c>
      <c r="C102">
        <f>INDEX('Entity Map'!$F:$F,MATCH(A102,'Entity Map'!$A:$A,0))</f>
        <v>45354</v>
      </c>
      <c r="D102">
        <f t="shared" si="36"/>
        <v>46327</v>
      </c>
      <c r="E102" t="str">
        <f t="shared" si="37"/>
        <v>2026-11</v>
      </c>
      <c r="F102">
        <f>AVERAGEIFS(Positions!$F:$F,Positions!$A:$A,A102)</f>
        <v>25077703.709999997</v>
      </c>
      <c r="G102">
        <f t="shared" si="52"/>
        <v>55542239.75</v>
      </c>
      <c r="H102">
        <f t="shared" si="53"/>
        <v>25077703.709999997</v>
      </c>
      <c r="I102">
        <f>VLOOKUP(F102,'Fee Schedule'!$D$5:$F$8,3,TRUE)</f>
        <v>22</v>
      </c>
      <c r="J102">
        <f>IFERROR(VLOOKUP(A102,'Fee Schedule'!$A$5:$B$21,2,FALSE),I102)</f>
        <v>22</v>
      </c>
      <c r="K102" t="str">
        <f>INDEX('Entity Map'!$C:$C,MATCH(A102,'Entity Map'!$A:$A,0))</f>
        <v>DubCo</v>
      </c>
      <c r="L102" t="str">
        <f>INDEX('Entity Map'!$D:$D,MATCH(A102,'Entity Map'!$A:$A,0))</f>
        <v>CC-150</v>
      </c>
      <c r="M102">
        <f t="shared" si="38"/>
        <v>55170.95</v>
      </c>
      <c r="N102">
        <f t="shared" si="39"/>
        <v>30</v>
      </c>
      <c r="O102">
        <f t="shared" si="40"/>
        <v>30</v>
      </c>
      <c r="P102">
        <f t="shared" si="41"/>
        <v>55170.95</v>
      </c>
      <c r="Q102">
        <f>MAX(P102,'Fee Schedule'!$I$3)</f>
        <v>55170.95</v>
      </c>
      <c r="R102">
        <f>MIN(Q102,'Fee Schedule'!$I$4)</f>
        <v>55170.95</v>
      </c>
      <c r="S102">
        <f>IFERROR(R102*'Fee Schedule'!$I$5,0)</f>
        <v>1379.2737500000001</v>
      </c>
      <c r="T102">
        <f t="shared" si="42"/>
        <v>53791.68</v>
      </c>
      <c r="U102">
        <f>IFERROR(VLOOKUP(A102,Overrides!$A:$C,3,FALSE),T102)</f>
        <v>53791.68</v>
      </c>
      <c r="V102" t="str">
        <f t="shared" si="43"/>
        <v/>
      </c>
      <c r="W102" t="str">
        <f t="shared" si="44"/>
        <v>000-2026-11</v>
      </c>
      <c r="X102">
        <f>COUNTIFS(Positions!$A:$A,A102)</f>
        <v>2</v>
      </c>
      <c r="Y102">
        <f>SUM($U$19:U102)</f>
        <v>7616098.4100000001</v>
      </c>
      <c r="Z102" t="str">
        <f>UPPER(TRIM(INDEX('Entity Map'!$E:$E,MATCH(A102,'Entity Map'!$A:$A,0))))</f>
        <v>FIXED INCOME</v>
      </c>
      <c r="AA102">
        <f>SUMIFS(Positions!$F:$F,Positions!$E:$E,Z102)</f>
        <v>2496645976.4000001</v>
      </c>
      <c r="AB102">
        <f t="shared" si="45"/>
        <v>1.0044557356970732E-2</v>
      </c>
      <c r="AC102">
        <f>SUMPRODUCT(Positions!$F$18:$F$185,--(Positions!$A$18:$A$185=A102))</f>
        <v>50155407.419999994</v>
      </c>
      <c r="AD102" t="str">
        <f t="shared" si="46"/>
        <v>A</v>
      </c>
      <c r="AE102">
        <f>COUNTIF('Entity Map'!$A:$A,A102)</f>
        <v>1</v>
      </c>
      <c r="AF102">
        <f>MAX(Positions!$C:$C)</f>
        <v>46354</v>
      </c>
      <c r="AG102">
        <f t="shared" si="47"/>
        <v>2026</v>
      </c>
      <c r="AH102">
        <f t="shared" si="48"/>
        <v>65202.03</v>
      </c>
      <c r="AI102">
        <f t="shared" si="49"/>
        <v>11410.349999999999</v>
      </c>
      <c r="AJ102">
        <f t="shared" si="50"/>
        <v>11068.039499999999</v>
      </c>
      <c r="AK102" t="str">
        <f t="shared" si="51"/>
        <v>00084 / 11068.04</v>
      </c>
    </row>
    <row r="104" spans="1:37" x14ac:dyDescent="0.35">
      <c r="A104" s="1" t="s">
        <v>254</v>
      </c>
      <c r="M104">
        <f>SUM(M19:M102)</f>
        <v>8230033.3399999999</v>
      </c>
      <c r="P104">
        <f>SUM(P19:P102)</f>
        <v>8123322.6200000001</v>
      </c>
      <c r="T104">
        <f>SUM(T19:T102)</f>
        <v>7921035.75</v>
      </c>
      <c r="U104">
        <f>SUM(U19:U102)</f>
        <v>7616098.4100000001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sheetViews>
  <sheetFormatPr defaultRowHeight="14.5" x14ac:dyDescent="0.35"/>
  <sheetData>
    <row r="1" spans="1:6" x14ac:dyDescent="0.35">
      <c r="A1" s="1" t="s">
        <v>217</v>
      </c>
      <c r="B1" s="1" t="s">
        <v>255</v>
      </c>
      <c r="C1" s="1" t="s">
        <v>256</v>
      </c>
      <c r="D1" s="1" t="s">
        <v>257</v>
      </c>
      <c r="E1" s="1" t="s">
        <v>258</v>
      </c>
      <c r="F1" s="1" t="s">
        <v>259</v>
      </c>
    </row>
    <row r="2" spans="1:6" x14ac:dyDescent="0.35">
      <c r="A2" t="s">
        <v>37</v>
      </c>
      <c r="B2">
        <f>INDEX(Working!$T:$T,MATCH($A2,Working!$A:$A,0))</f>
        <v>62340.34</v>
      </c>
      <c r="C2">
        <v>0</v>
      </c>
      <c r="D2" t="s">
        <v>260</v>
      </c>
      <c r="E2" s="3">
        <v>46283</v>
      </c>
      <c r="F2" t="s">
        <v>214</v>
      </c>
    </row>
    <row r="3" spans="1:6" x14ac:dyDescent="0.35">
      <c r="A3" t="s">
        <v>105</v>
      </c>
      <c r="B3">
        <f>INDEX(Working!$T:$T,MATCH($A3,Working!$A:$A,0))</f>
        <v>172430.45</v>
      </c>
      <c r="C3">
        <v>18500</v>
      </c>
      <c r="D3" t="s">
        <v>261</v>
      </c>
      <c r="E3" s="3">
        <v>46297</v>
      </c>
      <c r="F3" t="s">
        <v>214</v>
      </c>
    </row>
    <row r="4" spans="1:6" x14ac:dyDescent="0.35">
      <c r="A4" t="s">
        <v>147</v>
      </c>
      <c r="B4">
        <f>INDEX(Working!$T:$T,MATCH($A4,Working!$A:$A,0))</f>
        <v>92887.3</v>
      </c>
      <c r="C4">
        <v>4220.75</v>
      </c>
      <c r="D4" t="s">
        <v>262</v>
      </c>
      <c r="E4" s="3">
        <v>46329</v>
      </c>
      <c r="F4" t="s">
        <v>214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8"/>
  <sheetViews>
    <sheetView workbookViewId="0"/>
  </sheetViews>
  <sheetFormatPr defaultRowHeight="14.5" x14ac:dyDescent="0.35"/>
  <sheetData>
    <row r="1" spans="1:5" x14ac:dyDescent="0.35">
      <c r="A1" s="1" t="s">
        <v>14</v>
      </c>
      <c r="B1" s="1" t="s">
        <v>263</v>
      </c>
      <c r="C1" s="1" t="s">
        <v>264</v>
      </c>
      <c r="D1" s="1" t="s">
        <v>265</v>
      </c>
      <c r="E1" s="1" t="s">
        <v>266</v>
      </c>
    </row>
    <row r="2" spans="1:5" x14ac:dyDescent="0.35">
      <c r="A2" t="s">
        <v>20</v>
      </c>
      <c r="B2" t="s">
        <v>267</v>
      </c>
      <c r="C2" t="s">
        <v>268</v>
      </c>
      <c r="D2" t="s">
        <v>24</v>
      </c>
      <c r="E2">
        <f>SUMIFS(Working!$U:$U,Working!$A:$A,$A2)</f>
        <v>22501.03</v>
      </c>
    </row>
    <row r="3" spans="1:5" x14ac:dyDescent="0.35">
      <c r="A3" t="s">
        <v>31</v>
      </c>
      <c r="B3" t="s">
        <v>267</v>
      </c>
      <c r="C3" t="s">
        <v>269</v>
      </c>
      <c r="D3" t="s">
        <v>24</v>
      </c>
      <c r="E3">
        <f>SUMIFS(Working!$U:$U,Working!$A:$A,$A3)</f>
        <v>731.25</v>
      </c>
    </row>
    <row r="4" spans="1:5" x14ac:dyDescent="0.35">
      <c r="A4" t="s">
        <v>37</v>
      </c>
      <c r="B4" t="s">
        <v>267</v>
      </c>
      <c r="C4" t="s">
        <v>268</v>
      </c>
      <c r="D4" t="s">
        <v>24</v>
      </c>
      <c r="E4">
        <f>SUMIFS(Working!$U:$U,Working!$A:$A,$A4)</f>
        <v>62340.34</v>
      </c>
    </row>
    <row r="5" spans="1:5" x14ac:dyDescent="0.35">
      <c r="A5" t="s">
        <v>43</v>
      </c>
      <c r="B5" t="s">
        <v>267</v>
      </c>
      <c r="C5" t="s">
        <v>269</v>
      </c>
      <c r="D5" t="s">
        <v>24</v>
      </c>
      <c r="E5">
        <f>SUMIFS(Working!$U:$U,Working!$A:$A,$A5)</f>
        <v>98960.79</v>
      </c>
    </row>
    <row r="6" spans="1:5" x14ac:dyDescent="0.35">
      <c r="A6" t="s">
        <v>49</v>
      </c>
      <c r="B6" t="s">
        <v>267</v>
      </c>
      <c r="C6" t="s">
        <v>268</v>
      </c>
      <c r="D6" t="s">
        <v>24</v>
      </c>
      <c r="E6">
        <f>SUMIFS(Working!$U:$U,Working!$A:$A,$A6)</f>
        <v>36673.07</v>
      </c>
    </row>
    <row r="7" spans="1:5" x14ac:dyDescent="0.35">
      <c r="A7" t="s">
        <v>55</v>
      </c>
      <c r="B7" t="s">
        <v>267</v>
      </c>
      <c r="C7" t="s">
        <v>269</v>
      </c>
      <c r="D7" t="s">
        <v>24</v>
      </c>
      <c r="E7">
        <f>SUMIFS(Working!$U:$U,Working!$A:$A,$A7)</f>
        <v>200226.77</v>
      </c>
    </row>
    <row r="8" spans="1:5" x14ac:dyDescent="0.35">
      <c r="A8" t="s">
        <v>61</v>
      </c>
      <c r="B8" t="s">
        <v>267</v>
      </c>
      <c r="C8" t="s">
        <v>268</v>
      </c>
      <c r="D8" t="s">
        <v>24</v>
      </c>
      <c r="E8">
        <f>SUMIFS(Working!$U:$U,Working!$A:$A,$A8)</f>
        <v>68842.27</v>
      </c>
    </row>
    <row r="9" spans="1:5" x14ac:dyDescent="0.35">
      <c r="A9" t="s">
        <v>67</v>
      </c>
      <c r="B9" t="s">
        <v>267</v>
      </c>
      <c r="C9" t="s">
        <v>269</v>
      </c>
      <c r="D9" t="s">
        <v>24</v>
      </c>
      <c r="E9">
        <f>SUMIFS(Working!$U:$U,Working!$A:$A,$A9)</f>
        <v>93487.51</v>
      </c>
    </row>
    <row r="10" spans="1:5" x14ac:dyDescent="0.35">
      <c r="A10" t="s">
        <v>73</v>
      </c>
      <c r="B10" t="s">
        <v>267</v>
      </c>
      <c r="C10" t="s">
        <v>268</v>
      </c>
      <c r="D10" t="s">
        <v>24</v>
      </c>
      <c r="E10">
        <f>SUMIFS(Working!$U:$U,Working!$A:$A,$A10)</f>
        <v>61513.2</v>
      </c>
    </row>
    <row r="11" spans="1:5" x14ac:dyDescent="0.35">
      <c r="A11" t="s">
        <v>79</v>
      </c>
      <c r="B11" t="s">
        <v>267</v>
      </c>
      <c r="C11" t="s">
        <v>269</v>
      </c>
      <c r="D11" t="s">
        <v>24</v>
      </c>
      <c r="E11">
        <f>SUMIFS(Working!$U:$U,Working!$A:$A,$A11)</f>
        <v>731.25</v>
      </c>
    </row>
    <row r="12" spans="1:5" x14ac:dyDescent="0.35">
      <c r="A12" t="s">
        <v>85</v>
      </c>
      <c r="B12" t="s">
        <v>267</v>
      </c>
      <c r="C12" t="s">
        <v>268</v>
      </c>
      <c r="D12" t="s">
        <v>24</v>
      </c>
      <c r="E12">
        <f>SUMIFS(Working!$U:$U,Working!$A:$A,$A12)</f>
        <v>150539.44</v>
      </c>
    </row>
    <row r="13" spans="1:5" x14ac:dyDescent="0.35">
      <c r="A13" t="s">
        <v>91</v>
      </c>
      <c r="B13" t="s">
        <v>267</v>
      </c>
      <c r="C13" t="s">
        <v>269</v>
      </c>
      <c r="D13" t="s">
        <v>24</v>
      </c>
      <c r="E13">
        <f>SUMIFS(Working!$U:$U,Working!$A:$A,$A13)</f>
        <v>38800.28</v>
      </c>
    </row>
    <row r="14" spans="1:5" x14ac:dyDescent="0.35">
      <c r="A14" t="s">
        <v>97</v>
      </c>
      <c r="B14" t="s">
        <v>267</v>
      </c>
      <c r="C14" t="s">
        <v>268</v>
      </c>
      <c r="D14" t="s">
        <v>24</v>
      </c>
      <c r="E14">
        <f>SUMIFS(Working!$U:$U,Working!$A:$A,$A14)</f>
        <v>38668.99</v>
      </c>
    </row>
    <row r="15" spans="1:5" x14ac:dyDescent="0.35">
      <c r="A15" t="s">
        <v>103</v>
      </c>
      <c r="B15" t="s">
        <v>267</v>
      </c>
      <c r="C15" t="s">
        <v>269</v>
      </c>
      <c r="D15" t="s">
        <v>24</v>
      </c>
      <c r="E15">
        <f>SUMIFS(Working!$U:$U,Working!$A:$A,$A15)</f>
        <v>107057.52</v>
      </c>
    </row>
    <row r="16" spans="1:5" x14ac:dyDescent="0.35">
      <c r="A16" t="s">
        <v>109</v>
      </c>
      <c r="B16" t="s">
        <v>267</v>
      </c>
      <c r="C16" t="s">
        <v>268</v>
      </c>
      <c r="D16" t="s">
        <v>24</v>
      </c>
      <c r="E16">
        <f>SUMIFS(Working!$U:$U,Working!$A:$A,$A16)</f>
        <v>87322.71</v>
      </c>
    </row>
    <row r="17" spans="1:5" x14ac:dyDescent="0.35">
      <c r="A17" t="s">
        <v>115</v>
      </c>
      <c r="B17" t="s">
        <v>267</v>
      </c>
      <c r="C17" t="s">
        <v>269</v>
      </c>
      <c r="D17" t="s">
        <v>24</v>
      </c>
      <c r="E17">
        <f>SUMIFS(Working!$U:$U,Working!$A:$A,$A17)</f>
        <v>67778.850000000006</v>
      </c>
    </row>
    <row r="18" spans="1:5" x14ac:dyDescent="0.35">
      <c r="A18" t="s">
        <v>121</v>
      </c>
      <c r="B18" t="s">
        <v>267</v>
      </c>
      <c r="C18" t="s">
        <v>268</v>
      </c>
      <c r="D18" t="s">
        <v>24</v>
      </c>
      <c r="E18">
        <f>SUMIFS(Working!$U:$U,Working!$A:$A,$A18)</f>
        <v>112189.37</v>
      </c>
    </row>
    <row r="19" spans="1:5" x14ac:dyDescent="0.35">
      <c r="A19" t="s">
        <v>127</v>
      </c>
      <c r="B19" t="s">
        <v>267</v>
      </c>
      <c r="C19" t="s">
        <v>269</v>
      </c>
      <c r="D19" t="s">
        <v>24</v>
      </c>
      <c r="E19">
        <f>SUMIFS(Working!$U:$U,Working!$A:$A,$A19)</f>
        <v>105314.82</v>
      </c>
    </row>
    <row r="20" spans="1:5" x14ac:dyDescent="0.35">
      <c r="A20" t="s">
        <v>133</v>
      </c>
      <c r="B20" t="s">
        <v>267</v>
      </c>
      <c r="C20" t="s">
        <v>268</v>
      </c>
      <c r="D20" t="s">
        <v>24</v>
      </c>
      <c r="E20">
        <f>SUMIFS(Working!$U:$U,Working!$A:$A,$A20)</f>
        <v>137846.51999999999</v>
      </c>
    </row>
    <row r="21" spans="1:5" x14ac:dyDescent="0.35">
      <c r="A21" t="s">
        <v>139</v>
      </c>
      <c r="B21" t="s">
        <v>267</v>
      </c>
      <c r="C21" t="s">
        <v>269</v>
      </c>
      <c r="D21" t="s">
        <v>24</v>
      </c>
      <c r="E21">
        <f>SUMIFS(Working!$U:$U,Working!$A:$A,$A21)</f>
        <v>105232.63</v>
      </c>
    </row>
    <row r="22" spans="1:5" x14ac:dyDescent="0.35">
      <c r="A22" t="s">
        <v>145</v>
      </c>
      <c r="B22" t="s">
        <v>267</v>
      </c>
      <c r="C22" t="s">
        <v>268</v>
      </c>
      <c r="D22" t="s">
        <v>24</v>
      </c>
      <c r="E22">
        <f>SUMIFS(Working!$U:$U,Working!$A:$A,$A22)</f>
        <v>127080.3</v>
      </c>
    </row>
    <row r="23" spans="1:5" x14ac:dyDescent="0.35">
      <c r="A23" t="s">
        <v>151</v>
      </c>
      <c r="B23" t="s">
        <v>267</v>
      </c>
      <c r="C23" t="s">
        <v>269</v>
      </c>
      <c r="D23" t="s">
        <v>24</v>
      </c>
      <c r="E23">
        <f>SUMIFS(Working!$U:$U,Working!$A:$A,$A23)</f>
        <v>60632.13</v>
      </c>
    </row>
    <row r="24" spans="1:5" x14ac:dyDescent="0.35">
      <c r="A24" t="s">
        <v>157</v>
      </c>
      <c r="B24" t="s">
        <v>267</v>
      </c>
      <c r="C24" t="s">
        <v>268</v>
      </c>
      <c r="D24" t="s">
        <v>24</v>
      </c>
      <c r="E24">
        <f>SUMIFS(Working!$U:$U,Working!$A:$A,$A24)</f>
        <v>76653.73</v>
      </c>
    </row>
    <row r="25" spans="1:5" x14ac:dyDescent="0.35">
      <c r="A25" t="s">
        <v>163</v>
      </c>
      <c r="B25" t="s">
        <v>267</v>
      </c>
      <c r="C25" t="s">
        <v>269</v>
      </c>
      <c r="D25" t="s">
        <v>24</v>
      </c>
      <c r="E25">
        <f>SUMIFS(Working!$U:$U,Working!$A:$A,$A25)</f>
        <v>112918.24</v>
      </c>
    </row>
    <row r="26" spans="1:5" x14ac:dyDescent="0.35">
      <c r="A26" t="s">
        <v>169</v>
      </c>
      <c r="B26" t="s">
        <v>267</v>
      </c>
      <c r="C26" t="s">
        <v>268</v>
      </c>
      <c r="D26" t="s">
        <v>24</v>
      </c>
      <c r="E26">
        <f>SUMIFS(Working!$U:$U,Working!$A:$A,$A26)</f>
        <v>67174.990000000005</v>
      </c>
    </row>
    <row r="27" spans="1:5" x14ac:dyDescent="0.35">
      <c r="A27" t="s">
        <v>175</v>
      </c>
      <c r="B27" t="s">
        <v>267</v>
      </c>
      <c r="C27" t="s">
        <v>269</v>
      </c>
      <c r="D27" t="s">
        <v>24</v>
      </c>
      <c r="E27">
        <f>SUMIFS(Working!$U:$U,Working!$A:$A,$A27)</f>
        <v>207002.12</v>
      </c>
    </row>
    <row r="28" spans="1:5" x14ac:dyDescent="0.35">
      <c r="A28" t="s">
        <v>181</v>
      </c>
      <c r="B28" t="s">
        <v>267</v>
      </c>
      <c r="C28" t="s">
        <v>268</v>
      </c>
      <c r="D28" t="s">
        <v>24</v>
      </c>
      <c r="E28">
        <f>SUMIFS(Working!$U:$U,Working!$A:$A,$A28)</f>
        <v>139064.76</v>
      </c>
    </row>
    <row r="29" spans="1:5" x14ac:dyDescent="0.35">
      <c r="A29" t="s">
        <v>187</v>
      </c>
      <c r="B29" t="s">
        <v>267</v>
      </c>
      <c r="C29" t="s">
        <v>269</v>
      </c>
      <c r="D29" t="s">
        <v>24</v>
      </c>
      <c r="E29">
        <f>SUMIFS(Working!$U:$U,Working!$A:$A,$A29)</f>
        <v>61815.46</v>
      </c>
    </row>
    <row r="30" spans="1:5" x14ac:dyDescent="0.35">
      <c r="B30" s="1" t="s">
        <v>270</v>
      </c>
      <c r="E30">
        <f>SUBTOTAL(9,E2:E29)</f>
        <v>2449100.34</v>
      </c>
    </row>
    <row r="31" spans="1:5" x14ac:dyDescent="0.35">
      <c r="A31" t="s">
        <v>25</v>
      </c>
      <c r="B31" t="s">
        <v>271</v>
      </c>
      <c r="C31" t="s">
        <v>272</v>
      </c>
      <c r="D31" t="s">
        <v>24</v>
      </c>
      <c r="E31">
        <f>SUMIFS(Working!$U:$U,Working!$A:$A,$A31)</f>
        <v>96228.81</v>
      </c>
    </row>
    <row r="32" spans="1:5" x14ac:dyDescent="0.35">
      <c r="A32" t="s">
        <v>33</v>
      </c>
      <c r="B32" t="s">
        <v>271</v>
      </c>
      <c r="C32" t="s">
        <v>273</v>
      </c>
      <c r="D32" t="s">
        <v>24</v>
      </c>
      <c r="E32">
        <f>SUMIFS(Working!$U:$U,Working!$A:$A,$A32)</f>
        <v>96176.95</v>
      </c>
    </row>
    <row r="33" spans="1:5" x14ac:dyDescent="0.35">
      <c r="A33" t="s">
        <v>39</v>
      </c>
      <c r="B33" t="s">
        <v>271</v>
      </c>
      <c r="C33" t="s">
        <v>272</v>
      </c>
      <c r="D33" t="s">
        <v>24</v>
      </c>
      <c r="E33">
        <f>SUMIFS(Working!$U:$U,Working!$A:$A,$A33)</f>
        <v>79741.33</v>
      </c>
    </row>
    <row r="34" spans="1:5" x14ac:dyDescent="0.35">
      <c r="A34" t="s">
        <v>45</v>
      </c>
      <c r="B34" t="s">
        <v>271</v>
      </c>
      <c r="C34" t="s">
        <v>273</v>
      </c>
      <c r="D34" t="s">
        <v>24</v>
      </c>
      <c r="E34">
        <f>SUMIFS(Working!$U:$U,Working!$A:$A,$A34)</f>
        <v>34393.040000000001</v>
      </c>
    </row>
    <row r="35" spans="1:5" x14ac:dyDescent="0.35">
      <c r="A35" t="s">
        <v>51</v>
      </c>
      <c r="B35" t="s">
        <v>271</v>
      </c>
      <c r="C35" t="s">
        <v>272</v>
      </c>
      <c r="D35" t="s">
        <v>24</v>
      </c>
      <c r="E35">
        <f>SUMIFS(Working!$U:$U,Working!$A:$A,$A35)</f>
        <v>43813.279999999999</v>
      </c>
    </row>
    <row r="36" spans="1:5" x14ac:dyDescent="0.35">
      <c r="A36" t="s">
        <v>57</v>
      </c>
      <c r="B36" t="s">
        <v>271</v>
      </c>
      <c r="C36" t="s">
        <v>273</v>
      </c>
      <c r="D36" t="s">
        <v>24</v>
      </c>
      <c r="E36">
        <f>SUMIFS(Working!$U:$U,Working!$A:$A,$A36)</f>
        <v>19330.599999999999</v>
      </c>
    </row>
    <row r="37" spans="1:5" x14ac:dyDescent="0.35">
      <c r="A37" t="s">
        <v>63</v>
      </c>
      <c r="B37" t="s">
        <v>271</v>
      </c>
      <c r="C37" t="s">
        <v>272</v>
      </c>
      <c r="D37" t="s">
        <v>24</v>
      </c>
      <c r="E37">
        <f>SUMIFS(Working!$U:$U,Working!$A:$A,$A37)</f>
        <v>155130.42000000001</v>
      </c>
    </row>
    <row r="38" spans="1:5" x14ac:dyDescent="0.35">
      <c r="A38" t="s">
        <v>69</v>
      </c>
      <c r="B38" t="s">
        <v>271</v>
      </c>
      <c r="C38" t="s">
        <v>273</v>
      </c>
      <c r="D38" t="s">
        <v>24</v>
      </c>
      <c r="E38">
        <f>SUMIFS(Working!$U:$U,Working!$A:$A,$A38)</f>
        <v>93988.77</v>
      </c>
    </row>
    <row r="39" spans="1:5" x14ac:dyDescent="0.35">
      <c r="A39" t="s">
        <v>75</v>
      </c>
      <c r="B39" t="s">
        <v>271</v>
      </c>
      <c r="C39" t="s">
        <v>272</v>
      </c>
      <c r="D39" t="s">
        <v>24</v>
      </c>
      <c r="E39">
        <f>SUMIFS(Working!$U:$U,Working!$A:$A,$A39)</f>
        <v>205996.2</v>
      </c>
    </row>
    <row r="40" spans="1:5" x14ac:dyDescent="0.35">
      <c r="A40" t="s">
        <v>81</v>
      </c>
      <c r="B40" t="s">
        <v>271</v>
      </c>
      <c r="C40" t="s">
        <v>273</v>
      </c>
      <c r="D40" t="s">
        <v>24</v>
      </c>
      <c r="E40">
        <f>SUMIFS(Working!$U:$U,Working!$A:$A,$A40)</f>
        <v>138822.85999999999</v>
      </c>
    </row>
    <row r="41" spans="1:5" x14ac:dyDescent="0.35">
      <c r="A41" t="s">
        <v>87</v>
      </c>
      <c r="B41" t="s">
        <v>271</v>
      </c>
      <c r="C41" t="s">
        <v>272</v>
      </c>
      <c r="D41" t="s">
        <v>24</v>
      </c>
      <c r="E41">
        <f>SUMIFS(Working!$U:$U,Working!$A:$A,$A41)</f>
        <v>91707.8</v>
      </c>
    </row>
    <row r="42" spans="1:5" x14ac:dyDescent="0.35">
      <c r="A42" t="s">
        <v>93</v>
      </c>
      <c r="B42" t="s">
        <v>271</v>
      </c>
      <c r="C42" t="s">
        <v>273</v>
      </c>
      <c r="D42" t="s">
        <v>24</v>
      </c>
      <c r="E42">
        <f>SUMIFS(Working!$U:$U,Working!$A:$A,$A42)</f>
        <v>132373.42000000001</v>
      </c>
    </row>
    <row r="43" spans="1:5" x14ac:dyDescent="0.35">
      <c r="A43" t="s">
        <v>99</v>
      </c>
      <c r="B43" t="s">
        <v>271</v>
      </c>
      <c r="C43" t="s">
        <v>272</v>
      </c>
      <c r="D43" t="s">
        <v>24</v>
      </c>
      <c r="E43">
        <f>SUMIFS(Working!$U:$U,Working!$A:$A,$A43)</f>
        <v>98373.8</v>
      </c>
    </row>
    <row r="44" spans="1:5" x14ac:dyDescent="0.35">
      <c r="A44" t="s">
        <v>105</v>
      </c>
      <c r="B44" t="s">
        <v>271</v>
      </c>
      <c r="C44" t="s">
        <v>273</v>
      </c>
      <c r="D44" t="s">
        <v>24</v>
      </c>
      <c r="E44">
        <f>SUMIFS(Working!$U:$U,Working!$A:$A,$A44)</f>
        <v>172430.45</v>
      </c>
    </row>
    <row r="45" spans="1:5" x14ac:dyDescent="0.35">
      <c r="A45" t="s">
        <v>111</v>
      </c>
      <c r="B45" t="s">
        <v>271</v>
      </c>
      <c r="C45" t="s">
        <v>272</v>
      </c>
      <c r="D45" t="s">
        <v>24</v>
      </c>
      <c r="E45">
        <f>SUMIFS(Working!$U:$U,Working!$A:$A,$A45)</f>
        <v>106490.96</v>
      </c>
    </row>
    <row r="46" spans="1:5" x14ac:dyDescent="0.35">
      <c r="A46" t="s">
        <v>117</v>
      </c>
      <c r="B46" t="s">
        <v>271</v>
      </c>
      <c r="C46" t="s">
        <v>273</v>
      </c>
      <c r="D46" t="s">
        <v>24</v>
      </c>
      <c r="E46">
        <f>SUMIFS(Working!$U:$U,Working!$A:$A,$A46)</f>
        <v>101453.43</v>
      </c>
    </row>
    <row r="47" spans="1:5" x14ac:dyDescent="0.35">
      <c r="A47" t="s">
        <v>123</v>
      </c>
      <c r="B47" t="s">
        <v>271</v>
      </c>
      <c r="C47" t="s">
        <v>272</v>
      </c>
      <c r="D47" t="s">
        <v>24</v>
      </c>
      <c r="E47">
        <f>SUMIFS(Working!$U:$U,Working!$A:$A,$A47)</f>
        <v>96683.59</v>
      </c>
    </row>
    <row r="48" spans="1:5" x14ac:dyDescent="0.35">
      <c r="A48" t="s">
        <v>129</v>
      </c>
      <c r="B48" t="s">
        <v>271</v>
      </c>
      <c r="C48" t="s">
        <v>273</v>
      </c>
      <c r="D48" t="s">
        <v>24</v>
      </c>
      <c r="E48">
        <f>SUMIFS(Working!$U:$U,Working!$A:$A,$A48)</f>
        <v>66181.100000000006</v>
      </c>
    </row>
    <row r="49" spans="1:5" x14ac:dyDescent="0.35">
      <c r="A49" t="s">
        <v>135</v>
      </c>
      <c r="B49" t="s">
        <v>271</v>
      </c>
      <c r="C49" t="s">
        <v>272</v>
      </c>
      <c r="D49" t="s">
        <v>24</v>
      </c>
      <c r="E49">
        <f>SUMIFS(Working!$U:$U,Working!$A:$A,$A49)</f>
        <v>132762.5</v>
      </c>
    </row>
    <row r="50" spans="1:5" x14ac:dyDescent="0.35">
      <c r="A50" t="s">
        <v>141</v>
      </c>
      <c r="B50" t="s">
        <v>271</v>
      </c>
      <c r="C50" t="s">
        <v>273</v>
      </c>
      <c r="D50" t="s">
        <v>24</v>
      </c>
      <c r="E50">
        <f>SUMIFS(Working!$U:$U,Working!$A:$A,$A50)</f>
        <v>78962.600000000006</v>
      </c>
    </row>
    <row r="51" spans="1:5" x14ac:dyDescent="0.35">
      <c r="A51" t="s">
        <v>147</v>
      </c>
      <c r="B51" t="s">
        <v>271</v>
      </c>
      <c r="C51" t="s">
        <v>272</v>
      </c>
      <c r="D51" t="s">
        <v>24</v>
      </c>
      <c r="E51">
        <f>SUMIFS(Working!$U:$U,Working!$A:$A,$A51)</f>
        <v>92887.3</v>
      </c>
    </row>
    <row r="52" spans="1:5" x14ac:dyDescent="0.35">
      <c r="A52" t="s">
        <v>153</v>
      </c>
      <c r="B52" t="s">
        <v>271</v>
      </c>
      <c r="C52" t="s">
        <v>273</v>
      </c>
      <c r="D52" t="s">
        <v>24</v>
      </c>
      <c r="E52">
        <f>SUMIFS(Working!$U:$U,Working!$A:$A,$A52)</f>
        <v>135588.25</v>
      </c>
    </row>
    <row r="53" spans="1:5" x14ac:dyDescent="0.35">
      <c r="A53" t="s">
        <v>159</v>
      </c>
      <c r="B53" t="s">
        <v>271</v>
      </c>
      <c r="C53" t="s">
        <v>272</v>
      </c>
      <c r="D53" t="s">
        <v>24</v>
      </c>
      <c r="E53">
        <f>SUMIFS(Working!$U:$U,Working!$A:$A,$A53)</f>
        <v>62547.06</v>
      </c>
    </row>
    <row r="54" spans="1:5" x14ac:dyDescent="0.35">
      <c r="A54" t="s">
        <v>165</v>
      </c>
      <c r="B54" t="s">
        <v>271</v>
      </c>
      <c r="C54" t="s">
        <v>273</v>
      </c>
      <c r="D54" t="s">
        <v>24</v>
      </c>
      <c r="E54">
        <f>SUMIFS(Working!$U:$U,Working!$A:$A,$A54)</f>
        <v>188805.48</v>
      </c>
    </row>
    <row r="55" spans="1:5" x14ac:dyDescent="0.35">
      <c r="A55" t="s">
        <v>171</v>
      </c>
      <c r="B55" t="s">
        <v>271</v>
      </c>
      <c r="C55" t="s">
        <v>272</v>
      </c>
      <c r="D55" t="s">
        <v>24</v>
      </c>
      <c r="E55">
        <f>SUMIFS(Working!$U:$U,Working!$A:$A,$A55)</f>
        <v>91654.23</v>
      </c>
    </row>
    <row r="56" spans="1:5" x14ac:dyDescent="0.35">
      <c r="A56" t="s">
        <v>177</v>
      </c>
      <c r="B56" t="s">
        <v>271</v>
      </c>
      <c r="C56" t="s">
        <v>273</v>
      </c>
      <c r="D56" t="s">
        <v>24</v>
      </c>
      <c r="E56">
        <f>SUMIFS(Working!$U:$U,Working!$A:$A,$A56)</f>
        <v>12696.04</v>
      </c>
    </row>
    <row r="57" spans="1:5" x14ac:dyDescent="0.35">
      <c r="A57" t="s">
        <v>183</v>
      </c>
      <c r="B57" t="s">
        <v>271</v>
      </c>
      <c r="C57" t="s">
        <v>272</v>
      </c>
      <c r="D57" t="s">
        <v>24</v>
      </c>
      <c r="E57">
        <f>SUMIFS(Working!$U:$U,Working!$A:$A,$A57)</f>
        <v>117783.51</v>
      </c>
    </row>
    <row r="58" spans="1:5" x14ac:dyDescent="0.35">
      <c r="A58" t="s">
        <v>189</v>
      </c>
      <c r="B58" t="s">
        <v>271</v>
      </c>
      <c r="C58" t="s">
        <v>273</v>
      </c>
      <c r="D58" t="s">
        <v>24</v>
      </c>
      <c r="E58">
        <f>SUMIFS(Working!$U:$U,Working!$A:$A,$A58)</f>
        <v>100184.31</v>
      </c>
    </row>
    <row r="59" spans="1:5" x14ac:dyDescent="0.35">
      <c r="B59" s="1" t="s">
        <v>274</v>
      </c>
      <c r="E59">
        <f>SUBTOTAL(9,E31:E58)</f>
        <v>2843188.09</v>
      </c>
    </row>
    <row r="60" spans="1:5" x14ac:dyDescent="0.35">
      <c r="A60" t="s">
        <v>28</v>
      </c>
      <c r="B60" t="s">
        <v>275</v>
      </c>
      <c r="C60" t="s">
        <v>276</v>
      </c>
      <c r="D60" t="s">
        <v>24</v>
      </c>
      <c r="E60">
        <f>SUMIFS(Working!$U:$U,Working!$A:$A,$A60)</f>
        <v>84347.46</v>
      </c>
    </row>
    <row r="61" spans="1:5" x14ac:dyDescent="0.35">
      <c r="A61" t="s">
        <v>35</v>
      </c>
      <c r="B61" t="s">
        <v>275</v>
      </c>
      <c r="C61" t="s">
        <v>277</v>
      </c>
      <c r="D61" t="s">
        <v>24</v>
      </c>
      <c r="E61">
        <f>SUMIFS(Working!$U:$U,Working!$A:$A,$A61)</f>
        <v>99011.38</v>
      </c>
    </row>
    <row r="62" spans="1:5" x14ac:dyDescent="0.35">
      <c r="A62" t="s">
        <v>41</v>
      </c>
      <c r="B62" t="s">
        <v>275</v>
      </c>
      <c r="C62" t="s">
        <v>276</v>
      </c>
      <c r="D62" t="s">
        <v>24</v>
      </c>
      <c r="E62">
        <f>SUMIFS(Working!$U:$U,Working!$A:$A,$A62)</f>
        <v>102817.11</v>
      </c>
    </row>
    <row r="63" spans="1:5" x14ac:dyDescent="0.35">
      <c r="A63" t="s">
        <v>47</v>
      </c>
      <c r="B63" t="s">
        <v>275</v>
      </c>
      <c r="C63" t="s">
        <v>277</v>
      </c>
      <c r="D63" t="s">
        <v>24</v>
      </c>
      <c r="E63">
        <f>SUMIFS(Working!$U:$U,Working!$A:$A,$A63)</f>
        <v>35785.22</v>
      </c>
    </row>
    <row r="64" spans="1:5" x14ac:dyDescent="0.35">
      <c r="A64" t="s">
        <v>53</v>
      </c>
      <c r="B64" t="s">
        <v>275</v>
      </c>
      <c r="C64" t="s">
        <v>276</v>
      </c>
      <c r="D64" t="s">
        <v>24</v>
      </c>
      <c r="E64">
        <f>SUMIFS(Working!$U:$U,Working!$A:$A,$A64)</f>
        <v>88456.55</v>
      </c>
    </row>
    <row r="65" spans="1:5" x14ac:dyDescent="0.35">
      <c r="A65" t="s">
        <v>59</v>
      </c>
      <c r="B65" t="s">
        <v>275</v>
      </c>
      <c r="C65" t="s">
        <v>277</v>
      </c>
      <c r="D65" t="s">
        <v>24</v>
      </c>
      <c r="E65">
        <f>SUMIFS(Working!$U:$U,Working!$A:$A,$A65)</f>
        <v>93555.79</v>
      </c>
    </row>
    <row r="66" spans="1:5" x14ac:dyDescent="0.35">
      <c r="A66" t="s">
        <v>65</v>
      </c>
      <c r="B66" t="s">
        <v>275</v>
      </c>
      <c r="C66" t="s">
        <v>276</v>
      </c>
      <c r="D66" t="s">
        <v>24</v>
      </c>
      <c r="E66">
        <f>SUMIFS(Working!$U:$U,Working!$A:$A,$A66)</f>
        <v>176066.19</v>
      </c>
    </row>
    <row r="67" spans="1:5" x14ac:dyDescent="0.35">
      <c r="A67" t="s">
        <v>71</v>
      </c>
      <c r="B67" t="s">
        <v>275</v>
      </c>
      <c r="C67" t="s">
        <v>277</v>
      </c>
      <c r="D67" t="s">
        <v>24</v>
      </c>
      <c r="E67">
        <f>SUMIFS(Working!$U:$U,Working!$A:$A,$A67)</f>
        <v>98329.2</v>
      </c>
    </row>
    <row r="68" spans="1:5" x14ac:dyDescent="0.35">
      <c r="A68" t="s">
        <v>77</v>
      </c>
      <c r="B68" t="s">
        <v>275</v>
      </c>
      <c r="C68" t="s">
        <v>276</v>
      </c>
      <c r="D68" t="s">
        <v>24</v>
      </c>
      <c r="E68">
        <f>SUMIFS(Working!$U:$U,Working!$A:$A,$A68)</f>
        <v>75532.160000000003</v>
      </c>
    </row>
    <row r="69" spans="1:5" x14ac:dyDescent="0.35">
      <c r="A69" t="s">
        <v>83</v>
      </c>
      <c r="B69" t="s">
        <v>275</v>
      </c>
      <c r="C69" t="s">
        <v>277</v>
      </c>
      <c r="D69" t="s">
        <v>24</v>
      </c>
      <c r="E69">
        <f>SUMIFS(Working!$U:$U,Working!$A:$A,$A69)</f>
        <v>93369.64</v>
      </c>
    </row>
    <row r="70" spans="1:5" x14ac:dyDescent="0.35">
      <c r="A70" t="s">
        <v>89</v>
      </c>
      <c r="B70" t="s">
        <v>275</v>
      </c>
      <c r="C70" t="s">
        <v>276</v>
      </c>
      <c r="D70" t="s">
        <v>24</v>
      </c>
      <c r="E70">
        <f>SUMIFS(Working!$U:$U,Working!$A:$A,$A70)</f>
        <v>122629.26</v>
      </c>
    </row>
    <row r="71" spans="1:5" x14ac:dyDescent="0.35">
      <c r="A71" t="s">
        <v>95</v>
      </c>
      <c r="B71" t="s">
        <v>275</v>
      </c>
      <c r="C71" t="s">
        <v>277</v>
      </c>
      <c r="D71" t="s">
        <v>24</v>
      </c>
      <c r="E71">
        <f>SUMIFS(Working!$U:$U,Working!$A:$A,$A71)</f>
        <v>139969.12</v>
      </c>
    </row>
    <row r="72" spans="1:5" x14ac:dyDescent="0.35">
      <c r="A72" t="s">
        <v>101</v>
      </c>
      <c r="B72" t="s">
        <v>275</v>
      </c>
      <c r="C72" t="s">
        <v>276</v>
      </c>
      <c r="D72" t="s">
        <v>24</v>
      </c>
      <c r="E72">
        <f>SUMIFS(Working!$U:$U,Working!$A:$A,$A72)</f>
        <v>26802.959999999999</v>
      </c>
    </row>
    <row r="73" spans="1:5" x14ac:dyDescent="0.35">
      <c r="A73" t="s">
        <v>107</v>
      </c>
      <c r="B73" t="s">
        <v>275</v>
      </c>
      <c r="C73" t="s">
        <v>277</v>
      </c>
      <c r="D73" t="s">
        <v>24</v>
      </c>
      <c r="E73">
        <f>SUMIFS(Working!$U:$U,Working!$A:$A,$A73)</f>
        <v>46476.43</v>
      </c>
    </row>
    <row r="74" spans="1:5" x14ac:dyDescent="0.35">
      <c r="A74" t="s">
        <v>113</v>
      </c>
      <c r="B74" t="s">
        <v>275</v>
      </c>
      <c r="C74" t="s">
        <v>276</v>
      </c>
      <c r="D74" t="s">
        <v>24</v>
      </c>
      <c r="E74">
        <f>SUMIFS(Working!$U:$U,Working!$A:$A,$A74)</f>
        <v>104699.42</v>
      </c>
    </row>
    <row r="75" spans="1:5" x14ac:dyDescent="0.35">
      <c r="A75" t="s">
        <v>119</v>
      </c>
      <c r="B75" t="s">
        <v>275</v>
      </c>
      <c r="C75" t="s">
        <v>277</v>
      </c>
      <c r="D75" t="s">
        <v>24</v>
      </c>
      <c r="E75">
        <f>SUMIFS(Working!$U:$U,Working!$A:$A,$A75)</f>
        <v>106493.35</v>
      </c>
    </row>
    <row r="76" spans="1:5" x14ac:dyDescent="0.35">
      <c r="A76" t="s">
        <v>125</v>
      </c>
      <c r="B76" t="s">
        <v>275</v>
      </c>
      <c r="C76" t="s">
        <v>276</v>
      </c>
      <c r="D76" t="s">
        <v>24</v>
      </c>
      <c r="E76">
        <f>SUMIFS(Working!$U:$U,Working!$A:$A,$A76)</f>
        <v>120248.83</v>
      </c>
    </row>
    <row r="77" spans="1:5" x14ac:dyDescent="0.35">
      <c r="A77" t="s">
        <v>131</v>
      </c>
      <c r="B77" t="s">
        <v>275</v>
      </c>
      <c r="C77" t="s">
        <v>277</v>
      </c>
      <c r="D77" t="s">
        <v>24</v>
      </c>
      <c r="E77">
        <f>SUMIFS(Working!$U:$U,Working!$A:$A,$A77)</f>
        <v>94222.95</v>
      </c>
    </row>
    <row r="78" spans="1:5" x14ac:dyDescent="0.35">
      <c r="A78" t="s">
        <v>137</v>
      </c>
      <c r="B78" t="s">
        <v>275</v>
      </c>
      <c r="C78" t="s">
        <v>276</v>
      </c>
      <c r="D78" t="s">
        <v>24</v>
      </c>
      <c r="E78">
        <f>SUMIFS(Working!$U:$U,Working!$A:$A,$A78)</f>
        <v>99432.1</v>
      </c>
    </row>
    <row r="79" spans="1:5" x14ac:dyDescent="0.35">
      <c r="A79" t="s">
        <v>143</v>
      </c>
      <c r="B79" t="s">
        <v>275</v>
      </c>
      <c r="C79" t="s">
        <v>277</v>
      </c>
      <c r="D79" t="s">
        <v>24</v>
      </c>
      <c r="E79">
        <f>SUMIFS(Working!$U:$U,Working!$A:$A,$A79)</f>
        <v>97509.08</v>
      </c>
    </row>
    <row r="80" spans="1:5" x14ac:dyDescent="0.35">
      <c r="A80" t="s">
        <v>149</v>
      </c>
      <c r="B80" t="s">
        <v>275</v>
      </c>
      <c r="C80" t="s">
        <v>276</v>
      </c>
      <c r="D80" t="s">
        <v>24</v>
      </c>
      <c r="E80">
        <f>SUMIFS(Working!$U:$U,Working!$A:$A,$A80)</f>
        <v>79193.23</v>
      </c>
    </row>
    <row r="81" spans="1:5" x14ac:dyDescent="0.35">
      <c r="A81" t="s">
        <v>155</v>
      </c>
      <c r="B81" t="s">
        <v>275</v>
      </c>
      <c r="C81" t="s">
        <v>277</v>
      </c>
      <c r="D81" t="s">
        <v>24</v>
      </c>
      <c r="E81">
        <f>SUMIFS(Working!$U:$U,Working!$A:$A,$A81)</f>
        <v>188081.73</v>
      </c>
    </row>
    <row r="82" spans="1:5" x14ac:dyDescent="0.35">
      <c r="A82" t="s">
        <v>161</v>
      </c>
      <c r="B82" t="s">
        <v>275</v>
      </c>
      <c r="C82" t="s">
        <v>276</v>
      </c>
      <c r="D82" t="s">
        <v>24</v>
      </c>
      <c r="E82">
        <f>SUMIFS(Working!$U:$U,Working!$A:$A,$A82)</f>
        <v>107279.31</v>
      </c>
    </row>
    <row r="83" spans="1:5" x14ac:dyDescent="0.35">
      <c r="A83" t="s">
        <v>167</v>
      </c>
      <c r="B83" t="s">
        <v>275</v>
      </c>
      <c r="C83" t="s">
        <v>277</v>
      </c>
      <c r="D83" t="s">
        <v>24</v>
      </c>
      <c r="E83">
        <f>SUMIFS(Working!$U:$U,Working!$A:$A,$A83)</f>
        <v>731.25</v>
      </c>
    </row>
    <row r="84" spans="1:5" x14ac:dyDescent="0.35">
      <c r="A84" t="s">
        <v>173</v>
      </c>
      <c r="B84" t="s">
        <v>275</v>
      </c>
      <c r="C84" t="s">
        <v>276</v>
      </c>
      <c r="D84" t="s">
        <v>24</v>
      </c>
      <c r="E84">
        <f>SUMIFS(Working!$U:$U,Working!$A:$A,$A84)</f>
        <v>122576.17</v>
      </c>
    </row>
    <row r="85" spans="1:5" x14ac:dyDescent="0.35">
      <c r="A85" t="s">
        <v>179</v>
      </c>
      <c r="B85" t="s">
        <v>275</v>
      </c>
      <c r="C85" t="s">
        <v>277</v>
      </c>
      <c r="D85" t="s">
        <v>24</v>
      </c>
      <c r="E85">
        <f>SUMIFS(Working!$U:$U,Working!$A:$A,$A85)</f>
        <v>100381.56</v>
      </c>
    </row>
    <row r="86" spans="1:5" x14ac:dyDescent="0.35">
      <c r="A86" t="s">
        <v>185</v>
      </c>
      <c r="B86" t="s">
        <v>275</v>
      </c>
      <c r="C86" t="s">
        <v>276</v>
      </c>
      <c r="D86" t="s">
        <v>24</v>
      </c>
      <c r="E86">
        <f>SUMIFS(Working!$U:$U,Working!$A:$A,$A86)</f>
        <v>70958.19</v>
      </c>
    </row>
    <row r="87" spans="1:5" x14ac:dyDescent="0.35">
      <c r="A87" t="s">
        <v>191</v>
      </c>
      <c r="B87" t="s">
        <v>275</v>
      </c>
      <c r="C87" t="s">
        <v>277</v>
      </c>
      <c r="D87" t="s">
        <v>24</v>
      </c>
      <c r="E87">
        <f>SUMIFS(Working!$U:$U,Working!$A:$A,$A87)</f>
        <v>53791.68</v>
      </c>
    </row>
    <row r="88" spans="1:5" x14ac:dyDescent="0.35">
      <c r="B88" s="1" t="s">
        <v>278</v>
      </c>
      <c r="E88">
        <f>SUBTOTAL(9,E60:E87)</f>
        <v>2628747.3199999998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0"/>
  <sheetViews>
    <sheetView workbookViewId="0"/>
  </sheetViews>
  <sheetFormatPr defaultRowHeight="14.5" x14ac:dyDescent="0.35"/>
  <cols>
    <col min="1" max="1" width="15.81640625" bestFit="1" customWidth="1"/>
    <col min="2" max="2" width="15.26953125" bestFit="1" customWidth="1"/>
    <col min="3" max="4" width="10.81640625" bestFit="1" customWidth="1"/>
  </cols>
  <sheetData>
    <row r="1" spans="1:4" ht="15.5" x14ac:dyDescent="0.35">
      <c r="A1" s="4" t="s">
        <v>279</v>
      </c>
    </row>
    <row r="3" spans="1:4" x14ac:dyDescent="0.35">
      <c r="A3" s="6" t="s">
        <v>307</v>
      </c>
      <c r="B3" s="6" t="s">
        <v>306</v>
      </c>
    </row>
    <row r="4" spans="1:4" x14ac:dyDescent="0.35">
      <c r="A4" s="6" t="s">
        <v>303</v>
      </c>
      <c r="B4" t="s">
        <v>24</v>
      </c>
      <c r="C4" t="s">
        <v>305</v>
      </c>
      <c r="D4" t="s">
        <v>304</v>
      </c>
    </row>
    <row r="5" spans="1:4" x14ac:dyDescent="0.35">
      <c r="A5" s="7" t="s">
        <v>275</v>
      </c>
      <c r="B5" s="9">
        <v>2628747.3200000003</v>
      </c>
      <c r="C5" s="9"/>
      <c r="D5" s="9">
        <v>2628747.3200000003</v>
      </c>
    </row>
    <row r="6" spans="1:4" x14ac:dyDescent="0.35">
      <c r="A6" s="8" t="s">
        <v>276</v>
      </c>
      <c r="B6" s="9">
        <v>1381038.94</v>
      </c>
      <c r="C6" s="9"/>
      <c r="D6" s="9">
        <v>1381038.94</v>
      </c>
    </row>
    <row r="7" spans="1:4" x14ac:dyDescent="0.35">
      <c r="A7" s="8" t="s">
        <v>277</v>
      </c>
      <c r="B7" s="9">
        <v>1247708.3800000001</v>
      </c>
      <c r="C7" s="9"/>
      <c r="D7" s="9">
        <v>1247708.3800000001</v>
      </c>
    </row>
    <row r="8" spans="1:4" x14ac:dyDescent="0.35">
      <c r="A8" s="7" t="s">
        <v>278</v>
      </c>
      <c r="B8" s="9"/>
      <c r="C8" s="9">
        <v>2628747.3199999998</v>
      </c>
      <c r="D8" s="9">
        <v>2628747.3199999998</v>
      </c>
    </row>
    <row r="9" spans="1:4" x14ac:dyDescent="0.35">
      <c r="A9" s="8" t="s">
        <v>305</v>
      </c>
      <c r="B9" s="9"/>
      <c r="C9" s="9">
        <v>2628747.3199999998</v>
      </c>
      <c r="D9" s="9">
        <v>2628747.3199999998</v>
      </c>
    </row>
    <row r="10" spans="1:4" x14ac:dyDescent="0.35">
      <c r="A10" s="7" t="s">
        <v>267</v>
      </c>
      <c r="B10" s="9">
        <v>2449100.3400000003</v>
      </c>
      <c r="C10" s="9"/>
      <c r="D10" s="9">
        <v>2449100.3400000003</v>
      </c>
    </row>
    <row r="11" spans="1:4" x14ac:dyDescent="0.35">
      <c r="A11" s="8" t="s">
        <v>268</v>
      </c>
      <c r="B11" s="9">
        <v>1188410.7200000002</v>
      </c>
      <c r="C11" s="9"/>
      <c r="D11" s="9">
        <v>1188410.7200000002</v>
      </c>
    </row>
    <row r="12" spans="1:4" x14ac:dyDescent="0.35">
      <c r="A12" s="8" t="s">
        <v>269</v>
      </c>
      <c r="B12" s="9">
        <v>1260689.6200000001</v>
      </c>
      <c r="C12" s="9"/>
      <c r="D12" s="9">
        <v>1260689.6200000001</v>
      </c>
    </row>
    <row r="13" spans="1:4" x14ac:dyDescent="0.35">
      <c r="A13" s="7" t="s">
        <v>270</v>
      </c>
      <c r="B13" s="9"/>
      <c r="C13" s="9">
        <v>2449100.34</v>
      </c>
      <c r="D13" s="9">
        <v>2449100.34</v>
      </c>
    </row>
    <row r="14" spans="1:4" x14ac:dyDescent="0.35">
      <c r="A14" s="8" t="s">
        <v>305</v>
      </c>
      <c r="B14" s="9"/>
      <c r="C14" s="9">
        <v>2449100.34</v>
      </c>
      <c r="D14" s="9">
        <v>2449100.34</v>
      </c>
    </row>
    <row r="15" spans="1:4" x14ac:dyDescent="0.35">
      <c r="A15" s="7" t="s">
        <v>271</v>
      </c>
      <c r="B15" s="9">
        <v>2843188.09</v>
      </c>
      <c r="C15" s="9"/>
      <c r="D15" s="9">
        <v>2843188.09</v>
      </c>
    </row>
    <row r="16" spans="1:4" x14ac:dyDescent="0.35">
      <c r="A16" s="8" t="s">
        <v>272</v>
      </c>
      <c r="B16" s="9">
        <v>1471800.79</v>
      </c>
      <c r="C16" s="9"/>
      <c r="D16" s="9">
        <v>1471800.79</v>
      </c>
    </row>
    <row r="17" spans="1:4" x14ac:dyDescent="0.35">
      <c r="A17" s="8" t="s">
        <v>273</v>
      </c>
      <c r="B17" s="9">
        <v>1371387.3</v>
      </c>
      <c r="C17" s="9"/>
      <c r="D17" s="9">
        <v>1371387.3</v>
      </c>
    </row>
    <row r="18" spans="1:4" x14ac:dyDescent="0.35">
      <c r="A18" s="7" t="s">
        <v>274</v>
      </c>
      <c r="B18" s="9"/>
      <c r="C18" s="9">
        <v>2843188.09</v>
      </c>
      <c r="D18" s="9">
        <v>2843188.09</v>
      </c>
    </row>
    <row r="19" spans="1:4" x14ac:dyDescent="0.35">
      <c r="A19" s="8" t="s">
        <v>305</v>
      </c>
      <c r="B19" s="9"/>
      <c r="C19" s="9">
        <v>2843188.09</v>
      </c>
      <c r="D19" s="9">
        <v>2843188.09</v>
      </c>
    </row>
    <row r="20" spans="1:4" x14ac:dyDescent="0.35">
      <c r="A20" s="7" t="s">
        <v>304</v>
      </c>
      <c r="B20" s="9">
        <v>7921035.75</v>
      </c>
      <c r="C20" s="9">
        <v>7921035.75</v>
      </c>
      <c r="D20" s="9">
        <v>15842071.5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87"/>
  <sheetViews>
    <sheetView workbookViewId="0"/>
  </sheetViews>
  <sheetFormatPr defaultRowHeight="14.5" x14ac:dyDescent="0.35"/>
  <sheetData>
    <row r="1" spans="1:1" x14ac:dyDescent="0.35">
      <c r="A1" s="1" t="s">
        <v>280</v>
      </c>
    </row>
    <row r="3" spans="1:1" x14ac:dyDescent="0.35">
      <c r="A3" s="1" t="s">
        <v>281</v>
      </c>
    </row>
    <row r="4" spans="1:1" x14ac:dyDescent="0.35">
      <c r="A4" t="str">
        <f>"INSERT INTO fin.fee_invoice (client_code, client_name, period_month, fee_gbp) VALUES ('"&amp;Working!$A19&amp;"', '"&amp;'Entity Map'!$B2&amp;"', '"&amp;Working!$E19&amp;"', "&amp;Working!$U19&amp;");"</f>
        <v>INSERT INTO fin.fee_invoice (client_code, client_name, period_month, fee_gbp) VALUES ('00001', 'Client 001 Holdings', '2026-11', 22501.03);</v>
      </c>
    </row>
    <row r="5" spans="1:1" x14ac:dyDescent="0.35">
      <c r="A5" t="str">
        <f>"INSERT INTO fin.fee_invoice (client_code, client_name, period_month, fee_gbp) VALUES ('"&amp;Working!$A20&amp;"', '"&amp;'Entity Map'!$B3&amp;"', '"&amp;Working!$E20&amp;"', "&amp;Working!$U20&amp;");"</f>
        <v>INSERT INTO fin.fee_invoice (client_code, client_name, period_month, fee_gbp) VALUES ('00002', 'Client 002 Holdings', '2026-11', 96228.81);</v>
      </c>
    </row>
    <row r="6" spans="1:1" x14ac:dyDescent="0.35">
      <c r="A6" t="str">
        <f>"INSERT INTO fin.fee_invoice (client_code, client_name, period_month, fee_gbp) VALUES ('"&amp;Working!$A21&amp;"', '"&amp;'Entity Map'!$B4&amp;"', '"&amp;Working!$E21&amp;"', "&amp;Working!$U21&amp;");"</f>
        <v>INSERT INTO fin.fee_invoice (client_code, client_name, period_month, fee_gbp) VALUES ('00003', 'Client 003 Holdings', '2026-11', 84347.46);</v>
      </c>
    </row>
    <row r="7" spans="1:1" x14ac:dyDescent="0.35">
      <c r="A7" t="str">
        <f>"INSERT INTO fin.fee_invoice (client_code, client_name, period_month, fee_gbp) VALUES ('"&amp;Working!$A22&amp;"', '"&amp;'Entity Map'!$B5&amp;"', '"&amp;Working!$E22&amp;"', "&amp;Working!$U22&amp;");"</f>
        <v>INSERT INTO fin.fee_invoice (client_code, client_name, period_month, fee_gbp) VALUES ('00004', 'Client 004 Holdings', '2026-11', 731.25);</v>
      </c>
    </row>
    <row r="8" spans="1:1" x14ac:dyDescent="0.35">
      <c r="A8" t="str">
        <f>"INSERT INTO fin.fee_invoice (client_code, client_name, period_month, fee_gbp) VALUES ('"&amp;Working!$A23&amp;"', '"&amp;'Entity Map'!$B6&amp;"', '"&amp;Working!$E23&amp;"', "&amp;Working!$U23&amp;");"</f>
        <v>INSERT INTO fin.fee_invoice (client_code, client_name, period_month, fee_gbp) VALUES ('00005', 'Client 005 Holdings', '2026-11', 96176.95);</v>
      </c>
    </row>
    <row r="9" spans="1:1" x14ac:dyDescent="0.35">
      <c r="A9" t="str">
        <f>"INSERT INTO fin.fee_invoice (client_code, client_name, period_month, fee_gbp) VALUES ('"&amp;Working!$A24&amp;"', '"&amp;'Entity Map'!$B7&amp;"', '"&amp;Working!$E24&amp;"', "&amp;Working!$U24&amp;");"</f>
        <v>INSERT INTO fin.fee_invoice (client_code, client_name, period_month, fee_gbp) VALUES ('00006', 'Client 006 Holdings', '2026-11', 99011.38);</v>
      </c>
    </row>
    <row r="10" spans="1:1" x14ac:dyDescent="0.35">
      <c r="A10" t="str">
        <f>"INSERT INTO fin.fee_invoice (client_code, client_name, period_month, fee_gbp) VALUES ('"&amp;Working!$A25&amp;"', '"&amp;'Entity Map'!$B8&amp;"', '"&amp;Working!$E25&amp;"', "&amp;Working!$U25&amp;");"</f>
        <v>INSERT INTO fin.fee_invoice (client_code, client_name, period_month, fee_gbp) VALUES ('00007', 'Client 007 Holdings', '2026-11', 0);</v>
      </c>
    </row>
    <row r="11" spans="1:1" x14ac:dyDescent="0.35">
      <c r="A11" t="str">
        <f>"INSERT INTO fin.fee_invoice (client_code, client_name, period_month, fee_gbp) VALUES ('"&amp;Working!$A26&amp;"', '"&amp;'Entity Map'!$B9&amp;"', '"&amp;Working!$E26&amp;"', "&amp;Working!$U26&amp;");"</f>
        <v>INSERT INTO fin.fee_invoice (client_code, client_name, period_month, fee_gbp) VALUES ('00008', 'Client 008 Holdings', '2026-11', 79741.33);</v>
      </c>
    </row>
    <row r="12" spans="1:1" x14ac:dyDescent="0.35">
      <c r="A12" t="str">
        <f>"INSERT INTO fin.fee_invoice (client_code, client_name, period_month, fee_gbp) VALUES ('"&amp;Working!$A27&amp;"', '"&amp;'Entity Map'!$B10&amp;"', '"&amp;Working!$E27&amp;"', "&amp;Working!$U27&amp;");"</f>
        <v>INSERT INTO fin.fee_invoice (client_code, client_name, period_month, fee_gbp) VALUES ('00009', 'Client 009 Holdings', '2026-11', 102817.11);</v>
      </c>
    </row>
    <row r="13" spans="1:1" x14ac:dyDescent="0.35">
      <c r="A13" t="str">
        <f>"INSERT INTO fin.fee_invoice (client_code, client_name, period_month, fee_gbp) VALUES ('"&amp;Working!$A28&amp;"', '"&amp;'Entity Map'!$B11&amp;"', '"&amp;Working!$E28&amp;"', "&amp;Working!$U28&amp;");"</f>
        <v>INSERT INTO fin.fee_invoice (client_code, client_name, period_month, fee_gbp) VALUES ('00010', 'Client 010 Holdings', '2026-11', 98960.79);</v>
      </c>
    </row>
    <row r="14" spans="1:1" x14ac:dyDescent="0.35">
      <c r="A14" t="str">
        <f>"INSERT INTO fin.fee_invoice (client_code, client_name, period_month, fee_gbp) VALUES ('"&amp;Working!$A29&amp;"', '"&amp;'Entity Map'!$B12&amp;"', '"&amp;Working!$E29&amp;"', "&amp;Working!$U29&amp;");"</f>
        <v>INSERT INTO fin.fee_invoice (client_code, client_name, period_month, fee_gbp) VALUES ('00011', 'Client 011 Holdings', '2026-11', 34393.04);</v>
      </c>
    </row>
    <row r="15" spans="1:1" x14ac:dyDescent="0.35">
      <c r="A15" t="str">
        <f>"INSERT INTO fin.fee_invoice (client_code, client_name, period_month, fee_gbp) VALUES ('"&amp;Working!$A30&amp;"', '"&amp;'Entity Map'!$B13&amp;"', '"&amp;Working!$E30&amp;"', "&amp;Working!$U30&amp;");"</f>
        <v>INSERT INTO fin.fee_invoice (client_code, client_name, period_month, fee_gbp) VALUES ('00012', 'Client 012 Holdings', '2026-11', 35785.22);</v>
      </c>
    </row>
    <row r="16" spans="1:1" x14ac:dyDescent="0.35">
      <c r="A16" t="str">
        <f>"INSERT INTO fin.fee_invoice (client_code, client_name, period_month, fee_gbp) VALUES ('"&amp;Working!$A31&amp;"', '"&amp;'Entity Map'!$B14&amp;"', '"&amp;Working!$E31&amp;"', "&amp;Working!$U31&amp;");"</f>
        <v>INSERT INTO fin.fee_invoice (client_code, client_name, period_month, fee_gbp) VALUES ('00013', 'Client 013 Holdings', '2026-11', 36673.07);</v>
      </c>
    </row>
    <row r="17" spans="1:1" x14ac:dyDescent="0.35">
      <c r="A17" t="str">
        <f>"INSERT INTO fin.fee_invoice (client_code, client_name, period_month, fee_gbp) VALUES ('"&amp;Working!$A32&amp;"', '"&amp;'Entity Map'!$B15&amp;"', '"&amp;Working!$E32&amp;"', "&amp;Working!$U32&amp;");"</f>
        <v>INSERT INTO fin.fee_invoice (client_code, client_name, period_month, fee_gbp) VALUES ('00014', 'Client 014 Holdings', '2026-11', 43813.28);</v>
      </c>
    </row>
    <row r="18" spans="1:1" x14ac:dyDescent="0.35">
      <c r="A18" t="str">
        <f>"INSERT INTO fin.fee_invoice (client_code, client_name, period_month, fee_gbp) VALUES ('"&amp;Working!$A33&amp;"', '"&amp;'Entity Map'!$B16&amp;"', '"&amp;Working!$E33&amp;"', "&amp;Working!$U33&amp;");"</f>
        <v>INSERT INTO fin.fee_invoice (client_code, client_name, period_month, fee_gbp) VALUES ('00015', 'Client 015 Holdings', '2026-11', 88456.55);</v>
      </c>
    </row>
    <row r="19" spans="1:1" x14ac:dyDescent="0.35">
      <c r="A19" t="str">
        <f>"INSERT INTO fin.fee_invoice (client_code, client_name, period_month, fee_gbp) VALUES ('"&amp;Working!$A34&amp;"', '"&amp;'Entity Map'!$B17&amp;"', '"&amp;Working!$E34&amp;"', "&amp;Working!$U34&amp;");"</f>
        <v>INSERT INTO fin.fee_invoice (client_code, client_name, period_month, fee_gbp) VALUES ('00016', 'Client 016 Holdings', '2026-11', 200226.77);</v>
      </c>
    </row>
    <row r="20" spans="1:1" x14ac:dyDescent="0.35">
      <c r="A20" t="str">
        <f>"INSERT INTO fin.fee_invoice (client_code, client_name, period_month, fee_gbp) VALUES ('"&amp;Working!$A35&amp;"', '"&amp;'Entity Map'!$B18&amp;"', '"&amp;Working!$E35&amp;"', "&amp;Working!$U35&amp;");"</f>
        <v>INSERT INTO fin.fee_invoice (client_code, client_name, period_month, fee_gbp) VALUES ('00017', 'Client 017 Holdings', '2026-11', 19330.6);</v>
      </c>
    </row>
    <row r="21" spans="1:1" x14ac:dyDescent="0.35">
      <c r="A21" t="str">
        <f>"INSERT INTO fin.fee_invoice (client_code, client_name, period_month, fee_gbp) VALUES ('"&amp;Working!$A36&amp;"', '"&amp;'Entity Map'!$B19&amp;"', '"&amp;Working!$E36&amp;"', "&amp;Working!$U36&amp;");"</f>
        <v>INSERT INTO fin.fee_invoice (client_code, client_name, period_month, fee_gbp) VALUES ('00018', 'Client 018 Holdings', '2026-11', 93555.79);</v>
      </c>
    </row>
    <row r="22" spans="1:1" x14ac:dyDescent="0.35">
      <c r="A22" t="str">
        <f>"INSERT INTO fin.fee_invoice (client_code, client_name, period_month, fee_gbp) VALUES ('"&amp;Working!$A37&amp;"', '"&amp;'Entity Map'!$B20&amp;"', '"&amp;Working!$E37&amp;"', "&amp;Working!$U37&amp;");"</f>
        <v>INSERT INTO fin.fee_invoice (client_code, client_name, period_month, fee_gbp) VALUES ('00019', 'Client 019 Holdings', '2026-11', 68842.27);</v>
      </c>
    </row>
    <row r="23" spans="1:1" x14ac:dyDescent="0.35">
      <c r="A23" t="str">
        <f>"INSERT INTO fin.fee_invoice (client_code, client_name, period_month, fee_gbp) VALUES ('"&amp;Working!$A38&amp;"', '"&amp;'Entity Map'!$B21&amp;"', '"&amp;Working!$E38&amp;"', "&amp;Working!$U38&amp;");"</f>
        <v>INSERT INTO fin.fee_invoice (client_code, client_name, period_month, fee_gbp) VALUES ('00020', 'Client 020 Holdings', '2026-11', 155130.42);</v>
      </c>
    </row>
    <row r="24" spans="1:1" x14ac:dyDescent="0.35">
      <c r="A24" t="str">
        <f>"INSERT INTO fin.fee_invoice (client_code, client_name, period_month, fee_gbp) VALUES ('"&amp;Working!$A39&amp;"', '"&amp;'Entity Map'!$B22&amp;"', '"&amp;Working!$E39&amp;"', "&amp;Working!$U39&amp;");"</f>
        <v>INSERT INTO fin.fee_invoice (client_code, client_name, period_month, fee_gbp) VALUES ('00021', 'Client 021 Holdings', '2026-11', 176066.19);</v>
      </c>
    </row>
    <row r="25" spans="1:1" x14ac:dyDescent="0.35">
      <c r="A25" t="str">
        <f>"INSERT INTO fin.fee_invoice (client_code, client_name, period_month, fee_gbp) VALUES ('"&amp;Working!$A40&amp;"', '"&amp;'Entity Map'!$B23&amp;"', '"&amp;Working!$E40&amp;"', "&amp;Working!$U40&amp;");"</f>
        <v>INSERT INTO fin.fee_invoice (client_code, client_name, period_month, fee_gbp) VALUES ('00022', 'Client 022 Holdings', '2026-11', 93487.51);</v>
      </c>
    </row>
    <row r="26" spans="1:1" x14ac:dyDescent="0.35">
      <c r="A26" t="str">
        <f>"INSERT INTO fin.fee_invoice (client_code, client_name, period_month, fee_gbp) VALUES ('"&amp;Working!$A41&amp;"', '"&amp;'Entity Map'!$B24&amp;"', '"&amp;Working!$E41&amp;"', "&amp;Working!$U41&amp;");"</f>
        <v>INSERT INTO fin.fee_invoice (client_code, client_name, period_month, fee_gbp) VALUES ('00023', 'Client 023 Holdings', '2026-11', 93988.77);</v>
      </c>
    </row>
    <row r="27" spans="1:1" x14ac:dyDescent="0.35">
      <c r="A27" t="str">
        <f>"INSERT INTO fin.fee_invoice (client_code, client_name, period_month, fee_gbp) VALUES ('"&amp;Working!$A42&amp;"', '"&amp;'Entity Map'!$B25&amp;"', '"&amp;Working!$E42&amp;"', "&amp;Working!$U42&amp;");"</f>
        <v>INSERT INTO fin.fee_invoice (client_code, client_name, period_month, fee_gbp) VALUES ('00024', 'Client 024 Holdings', '2026-11', 98329.2);</v>
      </c>
    </row>
    <row r="28" spans="1:1" x14ac:dyDescent="0.35">
      <c r="A28" t="str">
        <f>"INSERT INTO fin.fee_invoice (client_code, client_name, period_month, fee_gbp) VALUES ('"&amp;Working!$A43&amp;"', '"&amp;'Entity Map'!$B26&amp;"', '"&amp;Working!$E43&amp;"', "&amp;Working!$U43&amp;");"</f>
        <v>INSERT INTO fin.fee_invoice (client_code, client_name, period_month, fee_gbp) VALUES ('00025', 'Client 025 Holdings', '2026-11', 61513.2);</v>
      </c>
    </row>
    <row r="29" spans="1:1" x14ac:dyDescent="0.35">
      <c r="A29" t="str">
        <f>"INSERT INTO fin.fee_invoice (client_code, client_name, period_month, fee_gbp) VALUES ('"&amp;Working!$A44&amp;"', '"&amp;'Entity Map'!$B27&amp;"', '"&amp;Working!$E44&amp;"', "&amp;Working!$U44&amp;");"</f>
        <v>INSERT INTO fin.fee_invoice (client_code, client_name, period_month, fee_gbp) VALUES ('00026', 'Client 026 Holdings', '2026-11', 205996.2);</v>
      </c>
    </row>
    <row r="30" spans="1:1" x14ac:dyDescent="0.35">
      <c r="A30" t="str">
        <f>"INSERT INTO fin.fee_invoice (client_code, client_name, period_month, fee_gbp) VALUES ('"&amp;Working!$A45&amp;"', '"&amp;'Entity Map'!$B28&amp;"', '"&amp;Working!$E45&amp;"', "&amp;Working!$U45&amp;");"</f>
        <v>INSERT INTO fin.fee_invoice (client_code, client_name, period_month, fee_gbp) VALUES ('00027', 'Client 027 Holdings', '2026-11', 75532.16);</v>
      </c>
    </row>
    <row r="31" spans="1:1" x14ac:dyDescent="0.35">
      <c r="A31" t="str">
        <f>"INSERT INTO fin.fee_invoice (client_code, client_name, period_month, fee_gbp) VALUES ('"&amp;Working!$A46&amp;"', '"&amp;'Entity Map'!$B29&amp;"', '"&amp;Working!$E46&amp;"', "&amp;Working!$U46&amp;");"</f>
        <v>INSERT INTO fin.fee_invoice (client_code, client_name, period_month, fee_gbp) VALUES ('00028', 'Client 028 Holdings', '2026-11', 731.25);</v>
      </c>
    </row>
    <row r="32" spans="1:1" x14ac:dyDescent="0.35">
      <c r="A32" t="str">
        <f>"INSERT INTO fin.fee_invoice (client_code, client_name, period_month, fee_gbp) VALUES ('"&amp;Working!$A47&amp;"', '"&amp;'Entity Map'!$B30&amp;"', '"&amp;Working!$E47&amp;"', "&amp;Working!$U47&amp;");"</f>
        <v>INSERT INTO fin.fee_invoice (client_code, client_name, period_month, fee_gbp) VALUES ('00029', 'Client 029 Holdings', '2026-11', 138822.86);</v>
      </c>
    </row>
    <row r="33" spans="1:1" x14ac:dyDescent="0.35">
      <c r="A33" t="str">
        <f>"INSERT INTO fin.fee_invoice (client_code, client_name, period_month, fee_gbp) VALUES ('"&amp;Working!$A48&amp;"', '"&amp;'Entity Map'!$B31&amp;"', '"&amp;Working!$E48&amp;"', "&amp;Working!$U48&amp;");"</f>
        <v>INSERT INTO fin.fee_invoice (client_code, client_name, period_month, fee_gbp) VALUES ('00030', 'Client 030 Holdings', '2026-11', 93369.64);</v>
      </c>
    </row>
    <row r="34" spans="1:1" x14ac:dyDescent="0.35">
      <c r="A34" t="str">
        <f>"INSERT INTO fin.fee_invoice (client_code, client_name, period_month, fee_gbp) VALUES ('"&amp;Working!$A49&amp;"', '"&amp;'Entity Map'!$B32&amp;"', '"&amp;Working!$E49&amp;"', "&amp;Working!$U49&amp;");"</f>
        <v>INSERT INTO fin.fee_invoice (client_code, client_name, period_month, fee_gbp) VALUES ('00031', 'Client 031 Holdings', '2026-11', 150539.44);</v>
      </c>
    </row>
    <row r="35" spans="1:1" x14ac:dyDescent="0.35">
      <c r="A35" t="str">
        <f>"INSERT INTO fin.fee_invoice (client_code, client_name, period_month, fee_gbp) VALUES ('"&amp;Working!$A50&amp;"', '"&amp;'Entity Map'!$B33&amp;"', '"&amp;Working!$E50&amp;"', "&amp;Working!$U50&amp;");"</f>
        <v>INSERT INTO fin.fee_invoice (client_code, client_name, period_month, fee_gbp) VALUES ('00032', 'Client 032 Holdings', '2026-11', 91707.8);</v>
      </c>
    </row>
    <row r="36" spans="1:1" x14ac:dyDescent="0.35">
      <c r="A36" t="str">
        <f>"INSERT INTO fin.fee_invoice (client_code, client_name, period_month, fee_gbp) VALUES ('"&amp;Working!$A51&amp;"', '"&amp;'Entity Map'!$B34&amp;"', '"&amp;Working!$E51&amp;"', "&amp;Working!$U51&amp;");"</f>
        <v>INSERT INTO fin.fee_invoice (client_code, client_name, period_month, fee_gbp) VALUES ('00033', 'Client 033 Holdings', '2026-11', 122629.26);</v>
      </c>
    </row>
    <row r="37" spans="1:1" x14ac:dyDescent="0.35">
      <c r="A37" t="str">
        <f>"INSERT INTO fin.fee_invoice (client_code, client_name, period_month, fee_gbp) VALUES ('"&amp;Working!$A52&amp;"', '"&amp;'Entity Map'!$B35&amp;"', '"&amp;Working!$E52&amp;"', "&amp;Working!$U52&amp;");"</f>
        <v>INSERT INTO fin.fee_invoice (client_code, client_name, period_month, fee_gbp) VALUES ('00034', 'Client 034 Holdings', '2026-11', 38800.28);</v>
      </c>
    </row>
    <row r="38" spans="1:1" x14ac:dyDescent="0.35">
      <c r="A38" t="str">
        <f>"INSERT INTO fin.fee_invoice (client_code, client_name, period_month, fee_gbp) VALUES ('"&amp;Working!$A53&amp;"', '"&amp;'Entity Map'!$B36&amp;"', '"&amp;Working!$E53&amp;"', "&amp;Working!$U53&amp;");"</f>
        <v>INSERT INTO fin.fee_invoice (client_code, client_name, period_month, fee_gbp) VALUES ('00035', 'Client 035 Holdings', '2026-11', 132373.42);</v>
      </c>
    </row>
    <row r="39" spans="1:1" x14ac:dyDescent="0.35">
      <c r="A39" t="str">
        <f>"INSERT INTO fin.fee_invoice (client_code, client_name, period_month, fee_gbp) VALUES ('"&amp;Working!$A54&amp;"', '"&amp;'Entity Map'!$B37&amp;"', '"&amp;Working!$E54&amp;"', "&amp;Working!$U54&amp;");"</f>
        <v>INSERT INTO fin.fee_invoice (client_code, client_name, period_month, fee_gbp) VALUES ('00036', 'Client 036 Holdings', '2026-11', 139969.12);</v>
      </c>
    </row>
    <row r="40" spans="1:1" x14ac:dyDescent="0.35">
      <c r="A40" t="str">
        <f>"INSERT INTO fin.fee_invoice (client_code, client_name, period_month, fee_gbp) VALUES ('"&amp;Working!$A55&amp;"', '"&amp;'Entity Map'!$B38&amp;"', '"&amp;Working!$E55&amp;"', "&amp;Working!$U55&amp;");"</f>
        <v>INSERT INTO fin.fee_invoice (client_code, client_name, period_month, fee_gbp) VALUES ('00037', 'Client 037 Holdings', '2026-11', 38668.99);</v>
      </c>
    </row>
    <row r="41" spans="1:1" x14ac:dyDescent="0.35">
      <c r="A41" t="str">
        <f>"INSERT INTO fin.fee_invoice (client_code, client_name, period_month, fee_gbp) VALUES ('"&amp;Working!$A56&amp;"', '"&amp;'Entity Map'!$B39&amp;"', '"&amp;Working!$E56&amp;"', "&amp;Working!$U56&amp;");"</f>
        <v>INSERT INTO fin.fee_invoice (client_code, client_name, period_month, fee_gbp) VALUES ('00038', 'Client 038 Holdings', '2026-11', 98373.8);</v>
      </c>
    </row>
    <row r="42" spans="1:1" x14ac:dyDescent="0.35">
      <c r="A42" t="str">
        <f>"INSERT INTO fin.fee_invoice (client_code, client_name, period_month, fee_gbp) VALUES ('"&amp;Working!$A57&amp;"', '"&amp;'Entity Map'!$B40&amp;"', '"&amp;Working!$E57&amp;"', "&amp;Working!$U57&amp;");"</f>
        <v>INSERT INTO fin.fee_invoice (client_code, client_name, period_month, fee_gbp) VALUES ('00039', 'Client 039 Holdings', '2026-11', 26802.96);</v>
      </c>
    </row>
    <row r="43" spans="1:1" x14ac:dyDescent="0.35">
      <c r="A43" t="str">
        <f>"INSERT INTO fin.fee_invoice (client_code, client_name, period_month, fee_gbp) VALUES ('"&amp;Working!$A58&amp;"', '"&amp;'Entity Map'!$B41&amp;"', '"&amp;Working!$E58&amp;"', "&amp;Working!$U58&amp;");"</f>
        <v>INSERT INTO fin.fee_invoice (client_code, client_name, period_month, fee_gbp) VALUES ('00040', 'Client 040 Holdings', '2026-11', 107057.52);</v>
      </c>
    </row>
    <row r="44" spans="1:1" x14ac:dyDescent="0.35">
      <c r="A44" t="str">
        <f>"INSERT INTO fin.fee_invoice (client_code, client_name, period_month, fee_gbp) VALUES ('"&amp;Working!$A59&amp;"', '"&amp;'Entity Map'!$B42&amp;"', '"&amp;Working!$E59&amp;"', "&amp;Working!$U59&amp;");"</f>
        <v>INSERT INTO fin.fee_invoice (client_code, client_name, period_month, fee_gbp) VALUES ('00041', 'O'Hanlon &amp; Reid Nominees', '2026-11', 18500);</v>
      </c>
    </row>
    <row r="45" spans="1:1" x14ac:dyDescent="0.35">
      <c r="A45" t="str">
        <f>"INSERT INTO fin.fee_invoice (client_code, client_name, period_month, fee_gbp) VALUES ('"&amp;Working!$A60&amp;"', '"&amp;'Entity Map'!$B43&amp;"', '"&amp;Working!$E60&amp;"', "&amp;Working!$U60&amp;");"</f>
        <v>INSERT INTO fin.fee_invoice (client_code, client_name, period_month, fee_gbp) VALUES ('00042', 'Client 042 Holdings', '2026-11', 46476.43);</v>
      </c>
    </row>
    <row r="46" spans="1:1" x14ac:dyDescent="0.35">
      <c r="A46" t="str">
        <f>"INSERT INTO fin.fee_invoice (client_code, client_name, period_month, fee_gbp) VALUES ('"&amp;Working!$A61&amp;"', '"&amp;'Entity Map'!$B44&amp;"', '"&amp;Working!$E61&amp;"', "&amp;Working!$U61&amp;");"</f>
        <v>INSERT INTO fin.fee_invoice (client_code, client_name, period_month, fee_gbp) VALUES ('00043', 'Client 043 Holdings', '2026-11', 87322.71);</v>
      </c>
    </row>
    <row r="47" spans="1:1" x14ac:dyDescent="0.35">
      <c r="A47" t="str">
        <f>"INSERT INTO fin.fee_invoice (client_code, client_name, period_month, fee_gbp) VALUES ('"&amp;Working!$A62&amp;"', '"&amp;'Entity Map'!$B45&amp;"', '"&amp;Working!$E62&amp;"', "&amp;Working!$U62&amp;");"</f>
        <v>INSERT INTO fin.fee_invoice (client_code, client_name, period_month, fee_gbp) VALUES ('00044', 'Client 044 Holdings', '2026-11', 106490.96);</v>
      </c>
    </row>
    <row r="48" spans="1:1" x14ac:dyDescent="0.35">
      <c r="A48" t="str">
        <f>"INSERT INTO fin.fee_invoice (client_code, client_name, period_month, fee_gbp) VALUES ('"&amp;Working!$A63&amp;"', '"&amp;'Entity Map'!$B46&amp;"', '"&amp;Working!$E63&amp;"', "&amp;Working!$U63&amp;");"</f>
        <v>INSERT INTO fin.fee_invoice (client_code, client_name, period_month, fee_gbp) VALUES ('00045', 'Client 045 Holdings', '2026-11', 104699.42);</v>
      </c>
    </row>
    <row r="49" spans="1:1" x14ac:dyDescent="0.35">
      <c r="A49" t="str">
        <f>"INSERT INTO fin.fee_invoice (client_code, client_name, period_month, fee_gbp) VALUES ('"&amp;Working!$A64&amp;"', '"&amp;'Entity Map'!$B47&amp;"', '"&amp;Working!$E64&amp;"', "&amp;Working!$U64&amp;");"</f>
        <v>INSERT INTO fin.fee_invoice (client_code, client_name, period_month, fee_gbp) VALUES ('00046', 'Client 046 Holdings', '2026-11', 67778.85);</v>
      </c>
    </row>
    <row r="50" spans="1:1" x14ac:dyDescent="0.35">
      <c r="A50" t="str">
        <f>"INSERT INTO fin.fee_invoice (client_code, client_name, period_month, fee_gbp) VALUES ('"&amp;Working!$A65&amp;"', '"&amp;'Entity Map'!$B48&amp;"', '"&amp;Working!$E65&amp;"', "&amp;Working!$U65&amp;");"</f>
        <v>INSERT INTO fin.fee_invoice (client_code, client_name, period_month, fee_gbp) VALUES ('00047', 'Client 047 Holdings', '2026-11', 101453.43);</v>
      </c>
    </row>
    <row r="51" spans="1:1" x14ac:dyDescent="0.35">
      <c r="A51" t="str">
        <f>"INSERT INTO fin.fee_invoice (client_code, client_name, period_month, fee_gbp) VALUES ('"&amp;Working!$A66&amp;"', '"&amp;'Entity Map'!$B49&amp;"', '"&amp;Working!$E66&amp;"', "&amp;Working!$U66&amp;");"</f>
        <v>INSERT INTO fin.fee_invoice (client_code, client_name, period_month, fee_gbp) VALUES ('00048', 'Client 048 Holdings', '2026-11', 106493.35);</v>
      </c>
    </row>
    <row r="52" spans="1:1" x14ac:dyDescent="0.35">
      <c r="A52" t="str">
        <f>"INSERT INTO fin.fee_invoice (client_code, client_name, period_month, fee_gbp) VALUES ('"&amp;Working!$A67&amp;"', '"&amp;'Entity Map'!$B50&amp;"', '"&amp;Working!$E67&amp;"', "&amp;Working!$U67&amp;");"</f>
        <v>INSERT INTO fin.fee_invoice (client_code, client_name, period_month, fee_gbp) VALUES ('00049', 'Client 049 Holdings', '2026-11', 112189.37);</v>
      </c>
    </row>
    <row r="53" spans="1:1" x14ac:dyDescent="0.35">
      <c r="A53" t="str">
        <f>"INSERT INTO fin.fee_invoice (client_code, client_name, period_month, fee_gbp) VALUES ('"&amp;Working!$A68&amp;"', '"&amp;'Entity Map'!$B51&amp;"', '"&amp;Working!$E68&amp;"', "&amp;Working!$U68&amp;");"</f>
        <v>INSERT INTO fin.fee_invoice (client_code, client_name, period_month, fee_gbp) VALUES ('00050', 'Client 050 Holdings', '2026-11', 96683.59);</v>
      </c>
    </row>
    <row r="54" spans="1:1" x14ac:dyDescent="0.35">
      <c r="A54" t="str">
        <f>"INSERT INTO fin.fee_invoice (client_code, client_name, period_month, fee_gbp) VALUES ('"&amp;Working!$A69&amp;"', '"&amp;'Entity Map'!$B52&amp;"', '"&amp;Working!$E69&amp;"', "&amp;Working!$U69&amp;");"</f>
        <v>INSERT INTO fin.fee_invoice (client_code, client_name, period_month, fee_gbp) VALUES ('00051', 'Client 051 Holdings', '2026-11', 120248.83);</v>
      </c>
    </row>
    <row r="55" spans="1:1" x14ac:dyDescent="0.35">
      <c r="A55" t="str">
        <f>"INSERT INTO fin.fee_invoice (client_code, client_name, period_month, fee_gbp) VALUES ('"&amp;Working!$A70&amp;"', '"&amp;'Entity Map'!$B53&amp;"', '"&amp;Working!$E70&amp;"', "&amp;Working!$U70&amp;");"</f>
        <v>INSERT INTO fin.fee_invoice (client_code, client_name, period_month, fee_gbp) VALUES ('00052', 'Client 052 Holdings', '2026-11', 105314.82);</v>
      </c>
    </row>
    <row r="56" spans="1:1" x14ac:dyDescent="0.35">
      <c r="A56" t="str">
        <f>"INSERT INTO fin.fee_invoice (client_code, client_name, period_month, fee_gbp) VALUES ('"&amp;Working!$A71&amp;"', '"&amp;'Entity Map'!$B54&amp;"', '"&amp;Working!$E71&amp;"', "&amp;Working!$U71&amp;");"</f>
        <v>INSERT INTO fin.fee_invoice (client_code, client_name, period_month, fee_gbp) VALUES ('00053', 'Client 053 Holdings', '2026-11', 66181.1);</v>
      </c>
    </row>
    <row r="57" spans="1:1" x14ac:dyDescent="0.35">
      <c r="A57" t="str">
        <f>"INSERT INTO fin.fee_invoice (client_code, client_name, period_month, fee_gbp) VALUES ('"&amp;Working!$A72&amp;"', '"&amp;'Entity Map'!$B55&amp;"', '"&amp;Working!$E72&amp;"', "&amp;Working!$U72&amp;");"</f>
        <v>INSERT INTO fin.fee_invoice (client_code, client_name, period_month, fee_gbp) VALUES ('00054', 'Client 054 Holdings', '2026-11', 94222.95);</v>
      </c>
    </row>
    <row r="58" spans="1:1" x14ac:dyDescent="0.35">
      <c r="A58" t="str">
        <f>"INSERT INTO fin.fee_invoice (client_code, client_name, period_month, fee_gbp) VALUES ('"&amp;Working!$A73&amp;"', '"&amp;'Entity Map'!$B56&amp;"', '"&amp;Working!$E73&amp;"', "&amp;Working!$U73&amp;");"</f>
        <v>INSERT INTO fin.fee_invoice (client_code, client_name, period_month, fee_gbp) VALUES ('00055', 'Client 055 Holdings', '2026-11', 137846.52);</v>
      </c>
    </row>
    <row r="59" spans="1:1" x14ac:dyDescent="0.35">
      <c r="A59" t="str">
        <f>"INSERT INTO fin.fee_invoice (client_code, client_name, period_month, fee_gbp) VALUES ('"&amp;Working!$A74&amp;"', '"&amp;'Entity Map'!$B57&amp;"', '"&amp;Working!$E74&amp;"', "&amp;Working!$U74&amp;");"</f>
        <v>INSERT INTO fin.fee_invoice (client_code, client_name, period_month, fee_gbp) VALUES ('00056', 'Client 056 Holdings', '2026-11', 132762.5);</v>
      </c>
    </row>
    <row r="60" spans="1:1" x14ac:dyDescent="0.35">
      <c r="A60" t="str">
        <f>"INSERT INTO fin.fee_invoice (client_code, client_name, period_month, fee_gbp) VALUES ('"&amp;Working!$A75&amp;"', '"&amp;'Entity Map'!$B58&amp;"', '"&amp;Working!$E75&amp;"', "&amp;Working!$U75&amp;");"</f>
        <v>INSERT INTO fin.fee_invoice (client_code, client_name, period_month, fee_gbp) VALUES ('00057', 'Client 057 Holdings', '2026-11', 99432.1);</v>
      </c>
    </row>
    <row r="61" spans="1:1" x14ac:dyDescent="0.35">
      <c r="A61" t="str">
        <f>"INSERT INTO fin.fee_invoice (client_code, client_name, period_month, fee_gbp) VALUES ('"&amp;Working!$A76&amp;"', '"&amp;'Entity Map'!$B59&amp;"', '"&amp;Working!$E76&amp;"', "&amp;Working!$U76&amp;");"</f>
        <v>INSERT INTO fin.fee_invoice (client_code, client_name, period_month, fee_gbp) VALUES ('00058', 'Client 058 Holdings', '2026-11', 105232.63);</v>
      </c>
    </row>
    <row r="62" spans="1:1" x14ac:dyDescent="0.35">
      <c r="A62" t="str">
        <f>"INSERT INTO fin.fee_invoice (client_code, client_name, period_month, fee_gbp) VALUES ('"&amp;Working!$A77&amp;"', '"&amp;'Entity Map'!$B60&amp;"', '"&amp;Working!$E77&amp;"', "&amp;Working!$U77&amp;");"</f>
        <v>INSERT INTO fin.fee_invoice (client_code, client_name, period_month, fee_gbp) VALUES ('00059', 'Client 059 Holdings', '2026-11', 78962.6);</v>
      </c>
    </row>
    <row r="63" spans="1:1" x14ac:dyDescent="0.35">
      <c r="A63" t="str">
        <f>"INSERT INTO fin.fee_invoice (client_code, client_name, period_month, fee_gbp) VALUES ('"&amp;Working!$A78&amp;"', '"&amp;'Entity Map'!$B61&amp;"', '"&amp;Working!$E78&amp;"', "&amp;Working!$U78&amp;");"</f>
        <v>INSERT INTO fin.fee_invoice (client_code, client_name, period_month, fee_gbp) VALUES ('00060', 'Client 060 Holdings', '2026-11', 97509.08);</v>
      </c>
    </row>
    <row r="64" spans="1:1" x14ac:dyDescent="0.35">
      <c r="A64" t="str">
        <f>"INSERT INTO fin.fee_invoice (client_code, client_name, period_month, fee_gbp) VALUES ('"&amp;Working!$A79&amp;"', '"&amp;'Entity Map'!$B62&amp;"', '"&amp;Working!$E79&amp;"', "&amp;Working!$U79&amp;");"</f>
        <v>INSERT INTO fin.fee_invoice (client_code, client_name, period_month, fee_gbp) VALUES ('00061', 'Client 061 Holdings', '2026-11', 127080.3);</v>
      </c>
    </row>
    <row r="65" spans="1:1" x14ac:dyDescent="0.35">
      <c r="A65" t="str">
        <f>"INSERT INTO fin.fee_invoice (client_code, client_name, period_month, fee_gbp) VALUES ('"&amp;Working!$A80&amp;"', '"&amp;'Entity Map'!$B63&amp;"', '"&amp;Working!$E80&amp;"', "&amp;Working!$U80&amp;");"</f>
        <v>INSERT INTO fin.fee_invoice (client_code, client_name, period_month, fee_gbp) VALUES ('00062', 'Client 062 Holdings', '2026-11', 4220.75);</v>
      </c>
    </row>
    <row r="66" spans="1:1" x14ac:dyDescent="0.35">
      <c r="A66" t="str">
        <f>"INSERT INTO fin.fee_invoice (client_code, client_name, period_month, fee_gbp) VALUES ('"&amp;Working!$A81&amp;"', '"&amp;'Entity Map'!$B64&amp;"', '"&amp;Working!$E81&amp;"', "&amp;Working!$U81&amp;");"</f>
        <v>INSERT INTO fin.fee_invoice (client_code, client_name, period_month, fee_gbp) VALUES ('00063', 'Client 063 Holdings', '2026-11', 79193.23);</v>
      </c>
    </row>
    <row r="67" spans="1:1" x14ac:dyDescent="0.35">
      <c r="A67" t="str">
        <f>"INSERT INTO fin.fee_invoice (client_code, client_name, period_month, fee_gbp) VALUES ('"&amp;Working!$A82&amp;"', '"&amp;'Entity Map'!$B65&amp;"', '"&amp;Working!$E82&amp;"', "&amp;Working!$U82&amp;");"</f>
        <v>INSERT INTO fin.fee_invoice (client_code, client_name, period_month, fee_gbp) VALUES ('00064', 'Client 064 Holdings', '2026-11', 60632.13);</v>
      </c>
    </row>
    <row r="68" spans="1:1" x14ac:dyDescent="0.35">
      <c r="A68" t="str">
        <f>"INSERT INTO fin.fee_invoice (client_code, client_name, period_month, fee_gbp) VALUES ('"&amp;Working!$A83&amp;"', '"&amp;'Entity Map'!$B66&amp;"', '"&amp;Working!$E83&amp;"', "&amp;Working!$U83&amp;");"</f>
        <v>INSERT INTO fin.fee_invoice (client_code, client_name, period_month, fee_gbp) VALUES ('00065', 'Client 065 Holdings', '2026-11', 135588.25);</v>
      </c>
    </row>
    <row r="69" spans="1:1" x14ac:dyDescent="0.35">
      <c r="A69" t="str">
        <f>"INSERT INTO fin.fee_invoice (client_code, client_name, period_month, fee_gbp) VALUES ('"&amp;Working!$A84&amp;"', '"&amp;'Entity Map'!$B67&amp;"', '"&amp;Working!$E84&amp;"', "&amp;Working!$U84&amp;");"</f>
        <v>INSERT INTO fin.fee_invoice (client_code, client_name, period_month, fee_gbp) VALUES ('00066', 'Client 066 Holdings', '2026-11', 188081.73);</v>
      </c>
    </row>
    <row r="70" spans="1:1" x14ac:dyDescent="0.35">
      <c r="A70" t="str">
        <f>"INSERT INTO fin.fee_invoice (client_code, client_name, period_month, fee_gbp) VALUES ('"&amp;Working!$A85&amp;"', '"&amp;'Entity Map'!$B68&amp;"', '"&amp;Working!$E85&amp;"', "&amp;Working!$U85&amp;");"</f>
        <v>INSERT INTO fin.fee_invoice (client_code, client_name, period_month, fee_gbp) VALUES ('00067', 'Client 067 Holdings', '2026-11', 76653.73);</v>
      </c>
    </row>
    <row r="71" spans="1:1" x14ac:dyDescent="0.35">
      <c r="A71" t="str">
        <f>"INSERT INTO fin.fee_invoice (client_code, client_name, period_month, fee_gbp) VALUES ('"&amp;Working!$A86&amp;"', '"&amp;'Entity Map'!$B69&amp;"', '"&amp;Working!$E86&amp;"', "&amp;Working!$U86&amp;");"</f>
        <v>INSERT INTO fin.fee_invoice (client_code, client_name, period_month, fee_gbp) VALUES ('00068', 'Client 068 Holdings', '2026-11', 62547.06);</v>
      </c>
    </row>
    <row r="72" spans="1:1" x14ac:dyDescent="0.35">
      <c r="A72" t="str">
        <f>"INSERT INTO fin.fee_invoice (client_code, client_name, period_month, fee_gbp) VALUES ('"&amp;Working!$A87&amp;"', '"&amp;'Entity Map'!$B70&amp;"', '"&amp;Working!$E87&amp;"', "&amp;Working!$U87&amp;");"</f>
        <v>INSERT INTO fin.fee_invoice (client_code, client_name, period_month, fee_gbp) VALUES ('00069', 'Client 069 Holdings', '2026-11', 107279.31);</v>
      </c>
    </row>
    <row r="73" spans="1:1" x14ac:dyDescent="0.35">
      <c r="A73" t="str">
        <f>"INSERT INTO fin.fee_invoice (client_code, client_name, period_month, fee_gbp) VALUES ('"&amp;Working!$A88&amp;"', '"&amp;'Entity Map'!$B71&amp;"', '"&amp;Working!$E88&amp;"', "&amp;Working!$U88&amp;");"</f>
        <v>INSERT INTO fin.fee_invoice (client_code, client_name, period_month, fee_gbp) VALUES ('00070', 'Client 070 Holdings', '2026-11', 112918.24);</v>
      </c>
    </row>
    <row r="74" spans="1:1" x14ac:dyDescent="0.35">
      <c r="A74" t="str">
        <f>"INSERT INTO fin.fee_invoice (client_code, client_name, period_month, fee_gbp) VALUES ('"&amp;Working!$A89&amp;"', '"&amp;'Entity Map'!$B72&amp;"', '"&amp;Working!$E89&amp;"', "&amp;Working!$U89&amp;");"</f>
        <v>INSERT INTO fin.fee_invoice (client_code, client_name, period_month, fee_gbp) VALUES ('00071', 'Client 071 Holdings', '2026-11', 188805.48);</v>
      </c>
    </row>
    <row r="75" spans="1:1" x14ac:dyDescent="0.35">
      <c r="A75" t="str">
        <f>"INSERT INTO fin.fee_invoice (client_code, client_name, period_month, fee_gbp) VALUES ('"&amp;Working!$A90&amp;"', '"&amp;'Entity Map'!$B73&amp;"', '"&amp;Working!$E90&amp;"', "&amp;Working!$U90&amp;");"</f>
        <v>INSERT INTO fin.fee_invoice (client_code, client_name, period_month, fee_gbp) VALUES ('00072', 'Client 072 Holdings', '2026-11', 731.25);</v>
      </c>
    </row>
    <row r="76" spans="1:1" x14ac:dyDescent="0.35">
      <c r="A76" t="str">
        <f>"INSERT INTO fin.fee_invoice (client_code, client_name, period_month, fee_gbp) VALUES ('"&amp;Working!$A91&amp;"', '"&amp;'Entity Map'!$B74&amp;"', '"&amp;Working!$E91&amp;"', "&amp;Working!$U91&amp;");"</f>
        <v>INSERT INTO fin.fee_invoice (client_code, client_name, period_month, fee_gbp) VALUES ('00073', 'Client 073 Holdings', '2026-11', 67174.99);</v>
      </c>
    </row>
    <row r="77" spans="1:1" x14ac:dyDescent="0.35">
      <c r="A77" t="str">
        <f>"INSERT INTO fin.fee_invoice (client_code, client_name, period_month, fee_gbp) VALUES ('"&amp;Working!$A92&amp;"', '"&amp;'Entity Map'!$B75&amp;"', '"&amp;Working!$E92&amp;"', "&amp;Working!$U92&amp;");"</f>
        <v>INSERT INTO fin.fee_invoice (client_code, client_name, period_month, fee_gbp) VALUES ('00074', 'Client 074 Holdings', '2026-11', 91654.23);</v>
      </c>
    </row>
    <row r="78" spans="1:1" x14ac:dyDescent="0.35">
      <c r="A78" t="str">
        <f>"INSERT INTO fin.fee_invoice (client_code, client_name, period_month, fee_gbp) VALUES ('"&amp;Working!$A93&amp;"', '"&amp;'Entity Map'!$B76&amp;"', '"&amp;Working!$E93&amp;"', "&amp;Working!$U93&amp;");"</f>
        <v>INSERT INTO fin.fee_invoice (client_code, client_name, period_month, fee_gbp) VALUES ('00075', 'Client 075 Holdings', '2026-11', 122576.17);</v>
      </c>
    </row>
    <row r="79" spans="1:1" x14ac:dyDescent="0.35">
      <c r="A79" t="str">
        <f>"INSERT INTO fin.fee_invoice (client_code, client_name, period_month, fee_gbp) VALUES ('"&amp;Working!$A94&amp;"', '"&amp;'Entity Map'!$B77&amp;"', '"&amp;Working!$E94&amp;"', "&amp;Working!$U94&amp;");"</f>
        <v>INSERT INTO fin.fee_invoice (client_code, client_name, period_month, fee_gbp) VALUES ('00076', 'Client 076 Holdings', '2026-11', 207002.12);</v>
      </c>
    </row>
    <row r="80" spans="1:1" x14ac:dyDescent="0.35">
      <c r="A80" t="str">
        <f>"INSERT INTO fin.fee_invoice (client_code, client_name, period_month, fee_gbp) VALUES ('"&amp;Working!$A95&amp;"', '"&amp;'Entity Map'!$B78&amp;"', '"&amp;Working!$E95&amp;"', "&amp;Working!$U95&amp;");"</f>
        <v>INSERT INTO fin.fee_invoice (client_code, client_name, period_month, fee_gbp) VALUES ('00077', 'Client 077 Holdings', '2026-11', 12696.04);</v>
      </c>
    </row>
    <row r="81" spans="1:1" x14ac:dyDescent="0.35">
      <c r="A81" t="str">
        <f>"INSERT INTO fin.fee_invoice (client_code, client_name, period_month, fee_gbp) VALUES ('"&amp;Working!$A96&amp;"', '"&amp;'Entity Map'!$B79&amp;"', '"&amp;Working!$E96&amp;"', "&amp;Working!$U96&amp;");"</f>
        <v>INSERT INTO fin.fee_invoice (client_code, client_name, period_month, fee_gbp) VALUES ('00078', 'Client 078 Holdings', '2026-11', 100381.56);</v>
      </c>
    </row>
    <row r="82" spans="1:1" x14ac:dyDescent="0.35">
      <c r="A82" t="str">
        <f>"INSERT INTO fin.fee_invoice (client_code, client_name, period_month, fee_gbp) VALUES ('"&amp;Working!$A97&amp;"', '"&amp;'Entity Map'!$B80&amp;"', '"&amp;Working!$E97&amp;"', "&amp;Working!$U97&amp;");"</f>
        <v>INSERT INTO fin.fee_invoice (client_code, client_name, period_month, fee_gbp) VALUES ('00079', 'Client 079 Holdings', '2026-11', 139064.76);</v>
      </c>
    </row>
    <row r="83" spans="1:1" x14ac:dyDescent="0.35">
      <c r="A83" t="str">
        <f>"INSERT INTO fin.fee_invoice (client_code, client_name, period_month, fee_gbp) VALUES ('"&amp;Working!$A98&amp;"', '"&amp;'Entity Map'!$B81&amp;"', '"&amp;Working!$E98&amp;"', "&amp;Working!$U98&amp;");"</f>
        <v>INSERT INTO fin.fee_invoice (client_code, client_name, period_month, fee_gbp) VALUES ('00080', 'Client 080 Holdings', '2026-11', 117783.51);</v>
      </c>
    </row>
    <row r="84" spans="1:1" x14ac:dyDescent="0.35">
      <c r="A84" t="str">
        <f>"INSERT INTO fin.fee_invoice (client_code, client_name, period_month, fee_gbp) VALUES ('"&amp;Working!$A99&amp;"', '"&amp;'Entity Map'!$B82&amp;"', '"&amp;Working!$E99&amp;"', "&amp;Working!$U99&amp;");"</f>
        <v>INSERT INTO fin.fee_invoice (client_code, client_name, period_month, fee_gbp) VALUES ('00081', 'Client 081 Holdings', '2026-11', 70958.19);</v>
      </c>
    </row>
    <row r="85" spans="1:1" x14ac:dyDescent="0.35">
      <c r="A85" t="str">
        <f>"INSERT INTO fin.fee_invoice (client_code, client_name, period_month, fee_gbp) VALUES ('"&amp;Working!$A100&amp;"', '"&amp;'Entity Map'!$B83&amp;"', '"&amp;Working!$E100&amp;"', "&amp;Working!$U100&amp;");"</f>
        <v>INSERT INTO fin.fee_invoice (client_code, client_name, period_month, fee_gbp) VALUES ('00082', 'Client 082 Holdings', '2026-11', 61815.46);</v>
      </c>
    </row>
    <row r="86" spans="1:1" x14ac:dyDescent="0.35">
      <c r="A86" t="str">
        <f>"INSERT INTO fin.fee_invoice (client_code, client_name, period_month, fee_gbp) VALUES ('"&amp;Working!$A101&amp;"', '"&amp;'Entity Map'!$B84&amp;"', '"&amp;Working!$E101&amp;"', "&amp;Working!$U101&amp;");"</f>
        <v>INSERT INTO fin.fee_invoice (client_code, client_name, period_month, fee_gbp) VALUES ('00083', 'Client 083 Holdings', '2026-11', 100184.31);</v>
      </c>
    </row>
    <row r="87" spans="1:1" x14ac:dyDescent="0.35">
      <c r="A87" t="str">
        <f>"INSERT INTO fin.fee_invoice (client_code, client_name, period_month, fee_gbp) VALUES ('"&amp;Working!$A102&amp;"', '"&amp;'Entity Map'!$B85&amp;"', '"&amp;Working!$E102&amp;"', "&amp;Working!$U102&amp;");"</f>
        <v>INSERT INTO fin.fee_invoice (client_code, client_name, period_month, fee_gbp) VALUES ('00084', 'Client 084 Holdings', '2026-11', 53791.68);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5"/>
  <sheetViews>
    <sheetView workbookViewId="0"/>
  </sheetViews>
  <sheetFormatPr defaultRowHeight="14.5" x14ac:dyDescent="0.35"/>
  <sheetData>
    <row r="1" spans="1:6" x14ac:dyDescent="0.35">
      <c r="A1" s="1" t="s">
        <v>14</v>
      </c>
      <c r="B1" s="1" t="s">
        <v>15</v>
      </c>
      <c r="C1" s="1" t="s">
        <v>263</v>
      </c>
      <c r="D1" s="1" t="s">
        <v>264</v>
      </c>
      <c r="E1" s="1" t="s">
        <v>18</v>
      </c>
      <c r="F1" s="1" t="s">
        <v>282</v>
      </c>
    </row>
    <row r="2" spans="1:6" x14ac:dyDescent="0.35">
      <c r="A2" t="s">
        <v>20</v>
      </c>
      <c r="B2" t="s">
        <v>21</v>
      </c>
      <c r="C2" t="s">
        <v>267</v>
      </c>
      <c r="D2" t="s">
        <v>268</v>
      </c>
      <c r="E2" t="s">
        <v>283</v>
      </c>
      <c r="F2" s="3">
        <v>45352</v>
      </c>
    </row>
    <row r="3" spans="1:6" x14ac:dyDescent="0.35">
      <c r="A3" t="s">
        <v>25</v>
      </c>
      <c r="B3" t="s">
        <v>26</v>
      </c>
      <c r="C3" t="s">
        <v>271</v>
      </c>
      <c r="D3" t="s">
        <v>272</v>
      </c>
      <c r="E3" t="s">
        <v>27</v>
      </c>
      <c r="F3" s="3">
        <v>45353</v>
      </c>
    </row>
    <row r="4" spans="1:6" x14ac:dyDescent="0.35">
      <c r="A4" t="s">
        <v>28</v>
      </c>
      <c r="B4" t="s">
        <v>29</v>
      </c>
      <c r="C4" t="s">
        <v>275</v>
      </c>
      <c r="D4" t="s">
        <v>276</v>
      </c>
      <c r="E4" t="s">
        <v>284</v>
      </c>
      <c r="F4" s="3">
        <v>45354</v>
      </c>
    </row>
    <row r="5" spans="1:6" x14ac:dyDescent="0.35">
      <c r="A5" t="s">
        <v>31</v>
      </c>
      <c r="B5" t="s">
        <v>32</v>
      </c>
      <c r="C5" t="s">
        <v>267</v>
      </c>
      <c r="D5" t="s">
        <v>269</v>
      </c>
      <c r="E5" t="s">
        <v>283</v>
      </c>
      <c r="F5" s="3">
        <v>45355</v>
      </c>
    </row>
    <row r="6" spans="1:6" x14ac:dyDescent="0.35">
      <c r="A6" t="s">
        <v>33</v>
      </c>
      <c r="B6" t="s">
        <v>34</v>
      </c>
      <c r="C6" t="s">
        <v>271</v>
      </c>
      <c r="D6" t="s">
        <v>273</v>
      </c>
      <c r="E6" t="s">
        <v>27</v>
      </c>
      <c r="F6" s="3">
        <v>45356</v>
      </c>
    </row>
    <row r="7" spans="1:6" x14ac:dyDescent="0.35">
      <c r="A7" t="s">
        <v>35</v>
      </c>
      <c r="B7" t="s">
        <v>36</v>
      </c>
      <c r="C7" t="s">
        <v>275</v>
      </c>
      <c r="D7" t="s">
        <v>277</v>
      </c>
      <c r="E7" t="s">
        <v>284</v>
      </c>
      <c r="F7" s="3">
        <v>45357</v>
      </c>
    </row>
    <row r="8" spans="1:6" x14ac:dyDescent="0.35">
      <c r="A8" t="s">
        <v>37</v>
      </c>
      <c r="B8" t="s">
        <v>38</v>
      </c>
      <c r="C8" t="s">
        <v>267</v>
      </c>
      <c r="D8" t="s">
        <v>268</v>
      </c>
      <c r="E8" t="s">
        <v>283</v>
      </c>
      <c r="F8" s="3">
        <v>45358</v>
      </c>
    </row>
    <row r="9" spans="1:6" x14ac:dyDescent="0.35">
      <c r="A9" t="s">
        <v>39</v>
      </c>
      <c r="B9" t="s">
        <v>40</v>
      </c>
      <c r="C9" t="s">
        <v>271</v>
      </c>
      <c r="D9" t="s">
        <v>272</v>
      </c>
      <c r="E9" t="s">
        <v>27</v>
      </c>
      <c r="F9" s="3">
        <v>45359</v>
      </c>
    </row>
    <row r="10" spans="1:6" x14ac:dyDescent="0.35">
      <c r="A10" t="s">
        <v>41</v>
      </c>
      <c r="B10" t="s">
        <v>42</v>
      </c>
      <c r="C10" t="s">
        <v>275</v>
      </c>
      <c r="D10" t="s">
        <v>276</v>
      </c>
      <c r="E10" t="s">
        <v>284</v>
      </c>
      <c r="F10" s="3">
        <v>45360</v>
      </c>
    </row>
    <row r="11" spans="1:6" x14ac:dyDescent="0.35">
      <c r="A11" t="s">
        <v>43</v>
      </c>
      <c r="B11" t="s">
        <v>44</v>
      </c>
      <c r="C11" t="s">
        <v>267</v>
      </c>
      <c r="D11" t="s">
        <v>269</v>
      </c>
      <c r="E11" t="s">
        <v>283</v>
      </c>
      <c r="F11" s="3">
        <v>45361</v>
      </c>
    </row>
    <row r="12" spans="1:6" x14ac:dyDescent="0.35">
      <c r="A12" t="s">
        <v>45</v>
      </c>
      <c r="B12" t="s">
        <v>46</v>
      </c>
      <c r="C12" t="s">
        <v>271</v>
      </c>
      <c r="D12" t="s">
        <v>273</v>
      </c>
      <c r="E12" t="s">
        <v>27</v>
      </c>
      <c r="F12" s="3">
        <v>45362</v>
      </c>
    </row>
    <row r="13" spans="1:6" x14ac:dyDescent="0.35">
      <c r="A13" t="s">
        <v>47</v>
      </c>
      <c r="B13" t="s">
        <v>48</v>
      </c>
      <c r="C13" t="s">
        <v>275</v>
      </c>
      <c r="D13" t="s">
        <v>277</v>
      </c>
      <c r="E13" t="s">
        <v>284</v>
      </c>
      <c r="F13" s="3">
        <v>45363</v>
      </c>
    </row>
    <row r="14" spans="1:6" x14ac:dyDescent="0.35">
      <c r="A14" t="s">
        <v>49</v>
      </c>
      <c r="B14" t="s">
        <v>50</v>
      </c>
      <c r="C14" t="s">
        <v>267</v>
      </c>
      <c r="D14" t="s">
        <v>268</v>
      </c>
      <c r="E14" t="s">
        <v>283</v>
      </c>
      <c r="F14" s="3">
        <v>46338</v>
      </c>
    </row>
    <row r="15" spans="1:6" x14ac:dyDescent="0.35">
      <c r="A15" t="s">
        <v>51</v>
      </c>
      <c r="B15" t="s">
        <v>52</v>
      </c>
      <c r="C15" t="s">
        <v>271</v>
      </c>
      <c r="D15" t="s">
        <v>272</v>
      </c>
      <c r="E15" t="s">
        <v>27</v>
      </c>
      <c r="F15" s="3">
        <v>45365</v>
      </c>
    </row>
    <row r="16" spans="1:6" x14ac:dyDescent="0.35">
      <c r="A16" t="s">
        <v>53</v>
      </c>
      <c r="B16" t="s">
        <v>54</v>
      </c>
      <c r="C16" t="s">
        <v>275</v>
      </c>
      <c r="D16" t="s">
        <v>276</v>
      </c>
      <c r="E16" t="s">
        <v>284</v>
      </c>
      <c r="F16" s="3">
        <v>45366</v>
      </c>
    </row>
    <row r="17" spans="1:6" x14ac:dyDescent="0.35">
      <c r="A17" t="s">
        <v>55</v>
      </c>
      <c r="B17" t="s">
        <v>56</v>
      </c>
      <c r="C17" t="s">
        <v>267</v>
      </c>
      <c r="D17" t="s">
        <v>269</v>
      </c>
      <c r="E17" t="s">
        <v>283</v>
      </c>
      <c r="F17" s="3">
        <v>45367</v>
      </c>
    </row>
    <row r="18" spans="1:6" x14ac:dyDescent="0.35">
      <c r="A18" t="s">
        <v>57</v>
      </c>
      <c r="B18" t="s">
        <v>58</v>
      </c>
      <c r="C18" t="s">
        <v>271</v>
      </c>
      <c r="D18" t="s">
        <v>273</v>
      </c>
      <c r="E18" t="s">
        <v>27</v>
      </c>
      <c r="F18" s="3">
        <v>45368</v>
      </c>
    </row>
    <row r="19" spans="1:6" x14ac:dyDescent="0.35">
      <c r="A19" t="s">
        <v>59</v>
      </c>
      <c r="B19" t="s">
        <v>60</v>
      </c>
      <c r="C19" t="s">
        <v>275</v>
      </c>
      <c r="D19" t="s">
        <v>277</v>
      </c>
      <c r="E19" t="s">
        <v>284</v>
      </c>
      <c r="F19" s="3">
        <v>45369</v>
      </c>
    </row>
    <row r="20" spans="1:6" x14ac:dyDescent="0.35">
      <c r="A20" t="s">
        <v>61</v>
      </c>
      <c r="B20" t="s">
        <v>62</v>
      </c>
      <c r="C20" t="s">
        <v>267</v>
      </c>
      <c r="D20" t="s">
        <v>268</v>
      </c>
      <c r="E20" t="s">
        <v>283</v>
      </c>
      <c r="F20" s="3">
        <v>45370</v>
      </c>
    </row>
    <row r="21" spans="1:6" x14ac:dyDescent="0.35">
      <c r="A21" t="s">
        <v>63</v>
      </c>
      <c r="B21" t="s">
        <v>64</v>
      </c>
      <c r="C21" t="s">
        <v>271</v>
      </c>
      <c r="D21" t="s">
        <v>272</v>
      </c>
      <c r="E21" t="s">
        <v>27</v>
      </c>
      <c r="F21" s="3">
        <v>45371</v>
      </c>
    </row>
    <row r="22" spans="1:6" x14ac:dyDescent="0.35">
      <c r="A22" t="s">
        <v>65</v>
      </c>
      <c r="B22" t="s">
        <v>66</v>
      </c>
      <c r="C22" t="s">
        <v>275</v>
      </c>
      <c r="D22" t="s">
        <v>276</v>
      </c>
      <c r="E22" t="s">
        <v>284</v>
      </c>
      <c r="F22" s="3">
        <v>45372</v>
      </c>
    </row>
    <row r="23" spans="1:6" x14ac:dyDescent="0.35">
      <c r="A23" t="s">
        <v>67</v>
      </c>
      <c r="B23" t="s">
        <v>68</v>
      </c>
      <c r="C23" t="s">
        <v>267</v>
      </c>
      <c r="D23" t="s">
        <v>269</v>
      </c>
      <c r="E23" t="s">
        <v>283</v>
      </c>
      <c r="F23" s="3">
        <v>45373</v>
      </c>
    </row>
    <row r="24" spans="1:6" x14ac:dyDescent="0.35">
      <c r="A24" t="s">
        <v>69</v>
      </c>
      <c r="B24" t="s">
        <v>70</v>
      </c>
      <c r="C24" t="s">
        <v>271</v>
      </c>
      <c r="D24" t="s">
        <v>273</v>
      </c>
      <c r="E24" t="s">
        <v>27</v>
      </c>
      <c r="F24" s="3">
        <v>45374</v>
      </c>
    </row>
    <row r="25" spans="1:6" x14ac:dyDescent="0.35">
      <c r="A25" t="s">
        <v>71</v>
      </c>
      <c r="B25" t="s">
        <v>72</v>
      </c>
      <c r="C25" t="s">
        <v>275</v>
      </c>
      <c r="D25" t="s">
        <v>277</v>
      </c>
      <c r="E25" t="s">
        <v>284</v>
      </c>
      <c r="F25" s="3">
        <v>45375</v>
      </c>
    </row>
    <row r="26" spans="1:6" x14ac:dyDescent="0.35">
      <c r="A26" t="s">
        <v>73</v>
      </c>
      <c r="B26" t="s">
        <v>74</v>
      </c>
      <c r="C26" t="s">
        <v>267</v>
      </c>
      <c r="D26" t="s">
        <v>268</v>
      </c>
      <c r="E26" t="s">
        <v>283</v>
      </c>
      <c r="F26" s="3">
        <v>45376</v>
      </c>
    </row>
    <row r="27" spans="1:6" x14ac:dyDescent="0.35">
      <c r="A27" t="s">
        <v>75</v>
      </c>
      <c r="B27" t="s">
        <v>76</v>
      </c>
      <c r="C27" t="s">
        <v>271</v>
      </c>
      <c r="D27" t="s">
        <v>272</v>
      </c>
      <c r="E27" t="s">
        <v>27</v>
      </c>
      <c r="F27" s="3">
        <v>45377</v>
      </c>
    </row>
    <row r="28" spans="1:6" x14ac:dyDescent="0.35">
      <c r="A28" t="s">
        <v>77</v>
      </c>
      <c r="B28" t="s">
        <v>78</v>
      </c>
      <c r="C28" t="s">
        <v>275</v>
      </c>
      <c r="D28" t="s">
        <v>276</v>
      </c>
      <c r="E28" t="s">
        <v>284</v>
      </c>
      <c r="F28" s="3">
        <v>45378</v>
      </c>
    </row>
    <row r="29" spans="1:6" x14ac:dyDescent="0.35">
      <c r="A29" t="s">
        <v>79</v>
      </c>
      <c r="B29" t="s">
        <v>80</v>
      </c>
      <c r="C29" t="s">
        <v>267</v>
      </c>
      <c r="D29" t="s">
        <v>269</v>
      </c>
      <c r="E29" t="s">
        <v>283</v>
      </c>
      <c r="F29" s="3">
        <v>45352</v>
      </c>
    </row>
    <row r="30" spans="1:6" x14ac:dyDescent="0.35">
      <c r="A30" t="s">
        <v>81</v>
      </c>
      <c r="B30" t="s">
        <v>82</v>
      </c>
      <c r="C30" t="s">
        <v>271</v>
      </c>
      <c r="D30" t="s">
        <v>273</v>
      </c>
      <c r="E30" t="s">
        <v>27</v>
      </c>
      <c r="F30" s="3">
        <v>45353</v>
      </c>
    </row>
    <row r="31" spans="1:6" x14ac:dyDescent="0.35">
      <c r="A31" t="s">
        <v>83</v>
      </c>
      <c r="B31" t="s">
        <v>84</v>
      </c>
      <c r="C31" t="s">
        <v>275</v>
      </c>
      <c r="D31" t="s">
        <v>277</v>
      </c>
      <c r="E31" t="s">
        <v>284</v>
      </c>
      <c r="F31" s="3">
        <v>45354</v>
      </c>
    </row>
    <row r="32" spans="1:6" x14ac:dyDescent="0.35">
      <c r="A32" t="s">
        <v>85</v>
      </c>
      <c r="B32" t="s">
        <v>86</v>
      </c>
      <c r="C32" t="s">
        <v>267</v>
      </c>
      <c r="D32" t="s">
        <v>268</v>
      </c>
      <c r="E32" t="s">
        <v>283</v>
      </c>
      <c r="F32" s="3">
        <v>45355</v>
      </c>
    </row>
    <row r="33" spans="1:6" x14ac:dyDescent="0.35">
      <c r="A33" t="s">
        <v>87</v>
      </c>
      <c r="B33" t="s">
        <v>88</v>
      </c>
      <c r="C33" t="s">
        <v>271</v>
      </c>
      <c r="D33" t="s">
        <v>272</v>
      </c>
      <c r="E33" t="s">
        <v>27</v>
      </c>
      <c r="F33" s="3">
        <v>45356</v>
      </c>
    </row>
    <row r="34" spans="1:6" x14ac:dyDescent="0.35">
      <c r="A34" t="s">
        <v>89</v>
      </c>
      <c r="B34" t="s">
        <v>90</v>
      </c>
      <c r="C34" t="s">
        <v>275</v>
      </c>
      <c r="D34" t="s">
        <v>276</v>
      </c>
      <c r="E34" t="s">
        <v>284</v>
      </c>
      <c r="F34" s="3">
        <v>45357</v>
      </c>
    </row>
    <row r="35" spans="1:6" x14ac:dyDescent="0.35">
      <c r="A35" t="s">
        <v>91</v>
      </c>
      <c r="B35" t="s">
        <v>92</v>
      </c>
      <c r="C35" t="s">
        <v>267</v>
      </c>
      <c r="D35" t="s">
        <v>269</v>
      </c>
      <c r="E35" t="s">
        <v>283</v>
      </c>
      <c r="F35" s="3">
        <v>46346</v>
      </c>
    </row>
    <row r="36" spans="1:6" x14ac:dyDescent="0.35">
      <c r="A36" t="s">
        <v>93</v>
      </c>
      <c r="B36" t="s">
        <v>94</v>
      </c>
      <c r="C36" t="s">
        <v>271</v>
      </c>
      <c r="D36" t="s">
        <v>273</v>
      </c>
      <c r="E36" t="s">
        <v>27</v>
      </c>
      <c r="F36" s="3">
        <v>45359</v>
      </c>
    </row>
    <row r="37" spans="1:6" x14ac:dyDescent="0.35">
      <c r="A37" t="s">
        <v>95</v>
      </c>
      <c r="B37" t="s">
        <v>96</v>
      </c>
      <c r="C37" t="s">
        <v>275</v>
      </c>
      <c r="D37" t="s">
        <v>277</v>
      </c>
      <c r="E37" t="s">
        <v>284</v>
      </c>
      <c r="F37" s="3">
        <v>45360</v>
      </c>
    </row>
    <row r="38" spans="1:6" x14ac:dyDescent="0.35">
      <c r="A38" t="s">
        <v>97</v>
      </c>
      <c r="B38" t="s">
        <v>98</v>
      </c>
      <c r="C38" t="s">
        <v>267</v>
      </c>
      <c r="D38" t="s">
        <v>268</v>
      </c>
      <c r="E38" t="s">
        <v>283</v>
      </c>
      <c r="F38" s="3">
        <v>45361</v>
      </c>
    </row>
    <row r="39" spans="1:6" x14ac:dyDescent="0.35">
      <c r="A39" t="s">
        <v>99</v>
      </c>
      <c r="B39" t="s">
        <v>100</v>
      </c>
      <c r="C39" t="s">
        <v>271</v>
      </c>
      <c r="D39" t="s">
        <v>272</v>
      </c>
      <c r="E39" t="s">
        <v>27</v>
      </c>
      <c r="F39" s="3">
        <v>45362</v>
      </c>
    </row>
    <row r="40" spans="1:6" x14ac:dyDescent="0.35">
      <c r="A40" t="s">
        <v>101</v>
      </c>
      <c r="B40" t="s">
        <v>102</v>
      </c>
      <c r="C40" t="s">
        <v>275</v>
      </c>
      <c r="D40" t="s">
        <v>276</v>
      </c>
      <c r="E40" t="s">
        <v>284</v>
      </c>
      <c r="F40" s="3">
        <v>45363</v>
      </c>
    </row>
    <row r="41" spans="1:6" x14ac:dyDescent="0.35">
      <c r="A41" t="s">
        <v>103</v>
      </c>
      <c r="B41" t="s">
        <v>104</v>
      </c>
      <c r="C41" t="s">
        <v>267</v>
      </c>
      <c r="D41" t="s">
        <v>269</v>
      </c>
      <c r="E41" t="s">
        <v>283</v>
      </c>
      <c r="F41" s="3">
        <v>45364</v>
      </c>
    </row>
    <row r="42" spans="1:6" x14ac:dyDescent="0.35">
      <c r="A42" t="s">
        <v>105</v>
      </c>
      <c r="B42" t="s">
        <v>106</v>
      </c>
      <c r="C42" t="s">
        <v>271</v>
      </c>
      <c r="D42" t="s">
        <v>273</v>
      </c>
      <c r="E42" t="s">
        <v>27</v>
      </c>
      <c r="F42" s="3">
        <v>45365</v>
      </c>
    </row>
    <row r="43" spans="1:6" x14ac:dyDescent="0.35">
      <c r="A43" t="s">
        <v>107</v>
      </c>
      <c r="B43" t="s">
        <v>108</v>
      </c>
      <c r="C43" t="s">
        <v>275</v>
      </c>
      <c r="D43" t="s">
        <v>277</v>
      </c>
      <c r="E43" t="s">
        <v>284</v>
      </c>
      <c r="F43" s="3">
        <v>45366</v>
      </c>
    </row>
    <row r="44" spans="1:6" x14ac:dyDescent="0.35">
      <c r="A44" t="s">
        <v>109</v>
      </c>
      <c r="B44" t="s">
        <v>110</v>
      </c>
      <c r="C44" t="s">
        <v>267</v>
      </c>
      <c r="D44" t="s">
        <v>268</v>
      </c>
      <c r="E44" t="s">
        <v>283</v>
      </c>
      <c r="F44" s="3">
        <v>45367</v>
      </c>
    </row>
    <row r="45" spans="1:6" x14ac:dyDescent="0.35">
      <c r="A45" t="s">
        <v>111</v>
      </c>
      <c r="B45" t="s">
        <v>112</v>
      </c>
      <c r="C45" t="s">
        <v>271</v>
      </c>
      <c r="D45" t="s">
        <v>272</v>
      </c>
      <c r="E45" t="s">
        <v>27</v>
      </c>
      <c r="F45" s="3">
        <v>45368</v>
      </c>
    </row>
    <row r="46" spans="1:6" x14ac:dyDescent="0.35">
      <c r="A46" t="s">
        <v>113</v>
      </c>
      <c r="B46" t="s">
        <v>114</v>
      </c>
      <c r="C46" t="s">
        <v>275</v>
      </c>
      <c r="D46" t="s">
        <v>276</v>
      </c>
      <c r="E46" t="s">
        <v>284</v>
      </c>
      <c r="F46" s="3">
        <v>45369</v>
      </c>
    </row>
    <row r="47" spans="1:6" x14ac:dyDescent="0.35">
      <c r="A47" t="s">
        <v>115</v>
      </c>
      <c r="B47" t="s">
        <v>116</v>
      </c>
      <c r="C47" t="s">
        <v>267</v>
      </c>
      <c r="D47" t="s">
        <v>269</v>
      </c>
      <c r="E47" t="s">
        <v>283</v>
      </c>
      <c r="F47" s="3">
        <v>45370</v>
      </c>
    </row>
    <row r="48" spans="1:6" x14ac:dyDescent="0.35">
      <c r="A48" t="s">
        <v>117</v>
      </c>
      <c r="B48" t="s">
        <v>118</v>
      </c>
      <c r="C48" t="s">
        <v>271</v>
      </c>
      <c r="D48" t="s">
        <v>273</v>
      </c>
      <c r="E48" t="s">
        <v>27</v>
      </c>
      <c r="F48" s="3">
        <v>45371</v>
      </c>
    </row>
    <row r="49" spans="1:6" x14ac:dyDescent="0.35">
      <c r="A49" t="s">
        <v>119</v>
      </c>
      <c r="B49" t="s">
        <v>120</v>
      </c>
      <c r="C49" t="s">
        <v>275</v>
      </c>
      <c r="D49" t="s">
        <v>277</v>
      </c>
      <c r="E49" t="s">
        <v>284</v>
      </c>
      <c r="F49" s="3">
        <v>45372</v>
      </c>
    </row>
    <row r="50" spans="1:6" x14ac:dyDescent="0.35">
      <c r="A50" t="s">
        <v>121</v>
      </c>
      <c r="B50" t="s">
        <v>122</v>
      </c>
      <c r="C50" t="s">
        <v>267</v>
      </c>
      <c r="D50" t="s">
        <v>268</v>
      </c>
      <c r="E50" t="s">
        <v>283</v>
      </c>
      <c r="F50" s="3">
        <v>45373</v>
      </c>
    </row>
    <row r="51" spans="1:6" x14ac:dyDescent="0.35">
      <c r="A51" t="s">
        <v>123</v>
      </c>
      <c r="B51" t="s">
        <v>124</v>
      </c>
      <c r="C51" t="s">
        <v>271</v>
      </c>
      <c r="D51" t="s">
        <v>272</v>
      </c>
      <c r="E51" t="s">
        <v>27</v>
      </c>
      <c r="F51" s="3">
        <v>45374</v>
      </c>
    </row>
    <row r="52" spans="1:6" x14ac:dyDescent="0.35">
      <c r="A52" t="s">
        <v>125</v>
      </c>
      <c r="B52" t="s">
        <v>126</v>
      </c>
      <c r="C52" t="s">
        <v>275</v>
      </c>
      <c r="D52" t="s">
        <v>276</v>
      </c>
      <c r="E52" t="s">
        <v>284</v>
      </c>
      <c r="F52" s="3">
        <v>45375</v>
      </c>
    </row>
    <row r="53" spans="1:6" x14ac:dyDescent="0.35">
      <c r="A53" t="s">
        <v>127</v>
      </c>
      <c r="B53" t="s">
        <v>128</v>
      </c>
      <c r="C53" t="s">
        <v>267</v>
      </c>
      <c r="D53" t="s">
        <v>269</v>
      </c>
      <c r="E53" t="s">
        <v>283</v>
      </c>
      <c r="F53" s="3">
        <v>45376</v>
      </c>
    </row>
    <row r="54" spans="1:6" x14ac:dyDescent="0.35">
      <c r="A54" t="s">
        <v>129</v>
      </c>
      <c r="B54" t="s">
        <v>130</v>
      </c>
      <c r="C54" t="s">
        <v>271</v>
      </c>
      <c r="D54" t="s">
        <v>273</v>
      </c>
      <c r="E54" t="s">
        <v>27</v>
      </c>
      <c r="F54" s="3">
        <v>45377</v>
      </c>
    </row>
    <row r="55" spans="1:6" x14ac:dyDescent="0.35">
      <c r="A55" t="s">
        <v>131</v>
      </c>
      <c r="B55" t="s">
        <v>132</v>
      </c>
      <c r="C55" t="s">
        <v>275</v>
      </c>
      <c r="D55" t="s">
        <v>277</v>
      </c>
      <c r="E55" t="s">
        <v>284</v>
      </c>
      <c r="F55" s="3">
        <v>45378</v>
      </c>
    </row>
    <row r="56" spans="1:6" x14ac:dyDescent="0.35">
      <c r="A56" t="s">
        <v>133</v>
      </c>
      <c r="B56" t="s">
        <v>134</v>
      </c>
      <c r="C56" t="s">
        <v>267</v>
      </c>
      <c r="D56" t="s">
        <v>268</v>
      </c>
      <c r="E56" t="s">
        <v>283</v>
      </c>
      <c r="F56" s="3">
        <v>45352</v>
      </c>
    </row>
    <row r="57" spans="1:6" x14ac:dyDescent="0.35">
      <c r="A57" t="s">
        <v>135</v>
      </c>
      <c r="B57" t="s">
        <v>136</v>
      </c>
      <c r="C57" t="s">
        <v>271</v>
      </c>
      <c r="D57" t="s">
        <v>272</v>
      </c>
      <c r="E57" t="s">
        <v>27</v>
      </c>
      <c r="F57" s="3">
        <v>45353</v>
      </c>
    </row>
    <row r="58" spans="1:6" x14ac:dyDescent="0.35">
      <c r="A58" t="s">
        <v>137</v>
      </c>
      <c r="B58" t="s">
        <v>138</v>
      </c>
      <c r="C58" t="s">
        <v>275</v>
      </c>
      <c r="D58" t="s">
        <v>276</v>
      </c>
      <c r="E58" t="s">
        <v>284</v>
      </c>
      <c r="F58" s="3">
        <v>45354</v>
      </c>
    </row>
    <row r="59" spans="1:6" x14ac:dyDescent="0.35">
      <c r="A59" t="s">
        <v>139</v>
      </c>
      <c r="B59" t="s">
        <v>140</v>
      </c>
      <c r="C59" t="s">
        <v>267</v>
      </c>
      <c r="D59" t="s">
        <v>269</v>
      </c>
      <c r="E59" t="s">
        <v>283</v>
      </c>
      <c r="F59" s="3">
        <v>45355</v>
      </c>
    </row>
    <row r="60" spans="1:6" x14ac:dyDescent="0.35">
      <c r="A60" t="s">
        <v>141</v>
      </c>
      <c r="B60" t="s">
        <v>142</v>
      </c>
      <c r="C60" t="s">
        <v>271</v>
      </c>
      <c r="D60" t="s">
        <v>273</v>
      </c>
      <c r="E60" t="s">
        <v>27</v>
      </c>
      <c r="F60" s="3">
        <v>46332</v>
      </c>
    </row>
    <row r="61" spans="1:6" x14ac:dyDescent="0.35">
      <c r="A61" t="s">
        <v>143</v>
      </c>
      <c r="B61" t="s">
        <v>144</v>
      </c>
      <c r="C61" t="s">
        <v>275</v>
      </c>
      <c r="D61" t="s">
        <v>277</v>
      </c>
      <c r="E61" t="s">
        <v>284</v>
      </c>
      <c r="F61" s="3">
        <v>45357</v>
      </c>
    </row>
    <row r="62" spans="1:6" x14ac:dyDescent="0.35">
      <c r="A62" t="s">
        <v>145</v>
      </c>
      <c r="B62" t="s">
        <v>146</v>
      </c>
      <c r="C62" t="s">
        <v>267</v>
      </c>
      <c r="D62" t="s">
        <v>268</v>
      </c>
      <c r="E62" t="s">
        <v>283</v>
      </c>
      <c r="F62" s="3">
        <v>45358</v>
      </c>
    </row>
    <row r="63" spans="1:6" x14ac:dyDescent="0.35">
      <c r="A63" t="s">
        <v>147</v>
      </c>
      <c r="B63" t="s">
        <v>148</v>
      </c>
      <c r="C63" t="s">
        <v>271</v>
      </c>
      <c r="D63" t="s">
        <v>272</v>
      </c>
      <c r="E63" t="s">
        <v>27</v>
      </c>
      <c r="F63" s="3">
        <v>45359</v>
      </c>
    </row>
    <row r="64" spans="1:6" x14ac:dyDescent="0.35">
      <c r="A64" t="s">
        <v>149</v>
      </c>
      <c r="B64" t="s">
        <v>150</v>
      </c>
      <c r="C64" t="s">
        <v>275</v>
      </c>
      <c r="D64" t="s">
        <v>276</v>
      </c>
      <c r="E64" t="s">
        <v>284</v>
      </c>
      <c r="F64" s="3">
        <v>45360</v>
      </c>
    </row>
    <row r="65" spans="1:6" x14ac:dyDescent="0.35">
      <c r="A65" t="s">
        <v>151</v>
      </c>
      <c r="B65" t="s">
        <v>152</v>
      </c>
      <c r="C65" t="s">
        <v>267</v>
      </c>
      <c r="D65" t="s">
        <v>269</v>
      </c>
      <c r="E65" t="s">
        <v>283</v>
      </c>
      <c r="F65" s="3">
        <v>45361</v>
      </c>
    </row>
    <row r="66" spans="1:6" x14ac:dyDescent="0.35">
      <c r="A66" t="s">
        <v>153</v>
      </c>
      <c r="B66" t="s">
        <v>154</v>
      </c>
      <c r="C66" t="s">
        <v>271</v>
      </c>
      <c r="D66" t="s">
        <v>273</v>
      </c>
      <c r="E66" t="s">
        <v>27</v>
      </c>
      <c r="F66" s="3">
        <v>45362</v>
      </c>
    </row>
    <row r="67" spans="1:6" x14ac:dyDescent="0.35">
      <c r="A67" t="s">
        <v>155</v>
      </c>
      <c r="B67" t="s">
        <v>156</v>
      </c>
      <c r="C67" t="s">
        <v>275</v>
      </c>
      <c r="D67" t="s">
        <v>277</v>
      </c>
      <c r="E67" t="s">
        <v>284</v>
      </c>
      <c r="F67" s="3">
        <v>45363</v>
      </c>
    </row>
    <row r="68" spans="1:6" x14ac:dyDescent="0.35">
      <c r="A68" t="s">
        <v>157</v>
      </c>
      <c r="B68" t="s">
        <v>158</v>
      </c>
      <c r="C68" t="s">
        <v>267</v>
      </c>
      <c r="D68" t="s">
        <v>268</v>
      </c>
      <c r="E68" t="s">
        <v>283</v>
      </c>
      <c r="F68" s="3">
        <v>45364</v>
      </c>
    </row>
    <row r="69" spans="1:6" x14ac:dyDescent="0.35">
      <c r="A69" t="s">
        <v>159</v>
      </c>
      <c r="B69" t="s">
        <v>160</v>
      </c>
      <c r="C69" t="s">
        <v>271</v>
      </c>
      <c r="D69" t="s">
        <v>272</v>
      </c>
      <c r="E69" t="s">
        <v>27</v>
      </c>
      <c r="F69" s="3">
        <v>45365</v>
      </c>
    </row>
    <row r="70" spans="1:6" x14ac:dyDescent="0.35">
      <c r="A70" t="s">
        <v>161</v>
      </c>
      <c r="B70" t="s">
        <v>162</v>
      </c>
      <c r="C70" t="s">
        <v>275</v>
      </c>
      <c r="D70" t="s">
        <v>276</v>
      </c>
      <c r="E70" t="s">
        <v>284</v>
      </c>
      <c r="F70" s="3">
        <v>45366</v>
      </c>
    </row>
    <row r="71" spans="1:6" x14ac:dyDescent="0.35">
      <c r="A71" t="s">
        <v>163</v>
      </c>
      <c r="B71" t="s">
        <v>164</v>
      </c>
      <c r="C71" t="s">
        <v>267</v>
      </c>
      <c r="D71" t="s">
        <v>269</v>
      </c>
      <c r="E71" t="s">
        <v>283</v>
      </c>
      <c r="F71" s="3">
        <v>45367</v>
      </c>
    </row>
    <row r="72" spans="1:6" x14ac:dyDescent="0.35">
      <c r="A72" t="s">
        <v>165</v>
      </c>
      <c r="B72" t="s">
        <v>166</v>
      </c>
      <c r="C72" t="s">
        <v>271</v>
      </c>
      <c r="D72" t="s">
        <v>273</v>
      </c>
      <c r="E72" t="s">
        <v>27</v>
      </c>
      <c r="F72" s="3">
        <v>45368</v>
      </c>
    </row>
    <row r="73" spans="1:6" x14ac:dyDescent="0.35">
      <c r="A73" t="s">
        <v>167</v>
      </c>
      <c r="B73" t="s">
        <v>168</v>
      </c>
      <c r="C73" t="s">
        <v>275</v>
      </c>
      <c r="D73" t="s">
        <v>277</v>
      </c>
      <c r="E73" t="s">
        <v>284</v>
      </c>
      <c r="F73" s="3">
        <v>45369</v>
      </c>
    </row>
    <row r="74" spans="1:6" x14ac:dyDescent="0.35">
      <c r="A74" t="s">
        <v>169</v>
      </c>
      <c r="B74" t="s">
        <v>170</v>
      </c>
      <c r="C74" t="s">
        <v>267</v>
      </c>
      <c r="D74" t="s">
        <v>268</v>
      </c>
      <c r="E74" t="s">
        <v>283</v>
      </c>
      <c r="F74" s="3">
        <v>45370</v>
      </c>
    </row>
    <row r="75" spans="1:6" x14ac:dyDescent="0.35">
      <c r="A75" t="s">
        <v>171</v>
      </c>
      <c r="B75" t="s">
        <v>172</v>
      </c>
      <c r="C75" t="s">
        <v>271</v>
      </c>
      <c r="D75" t="s">
        <v>272</v>
      </c>
      <c r="E75" t="s">
        <v>27</v>
      </c>
      <c r="F75" s="3">
        <v>45371</v>
      </c>
    </row>
    <row r="76" spans="1:6" x14ac:dyDescent="0.35">
      <c r="A76" t="s">
        <v>173</v>
      </c>
      <c r="B76" t="s">
        <v>174</v>
      </c>
      <c r="C76" t="s">
        <v>275</v>
      </c>
      <c r="D76" t="s">
        <v>276</v>
      </c>
      <c r="E76" t="s">
        <v>284</v>
      </c>
      <c r="F76" s="3">
        <v>45372</v>
      </c>
    </row>
    <row r="77" spans="1:6" x14ac:dyDescent="0.35">
      <c r="A77" t="s">
        <v>175</v>
      </c>
      <c r="B77" t="s">
        <v>176</v>
      </c>
      <c r="C77" t="s">
        <v>267</v>
      </c>
      <c r="D77" t="s">
        <v>269</v>
      </c>
      <c r="E77" t="s">
        <v>283</v>
      </c>
      <c r="F77" s="3">
        <v>45373</v>
      </c>
    </row>
    <row r="78" spans="1:6" x14ac:dyDescent="0.35">
      <c r="A78" t="s">
        <v>177</v>
      </c>
      <c r="B78" t="s">
        <v>178</v>
      </c>
      <c r="C78" t="s">
        <v>271</v>
      </c>
      <c r="D78" t="s">
        <v>273</v>
      </c>
      <c r="E78" t="s">
        <v>27</v>
      </c>
      <c r="F78" s="3">
        <v>45374</v>
      </c>
    </row>
    <row r="79" spans="1:6" x14ac:dyDescent="0.35">
      <c r="A79" t="s">
        <v>179</v>
      </c>
      <c r="B79" t="s">
        <v>180</v>
      </c>
      <c r="C79" t="s">
        <v>275</v>
      </c>
      <c r="D79" t="s">
        <v>277</v>
      </c>
      <c r="E79" t="s">
        <v>284</v>
      </c>
      <c r="F79" s="3">
        <v>45375</v>
      </c>
    </row>
    <row r="80" spans="1:6" x14ac:dyDescent="0.35">
      <c r="A80" t="s">
        <v>181</v>
      </c>
      <c r="B80" t="s">
        <v>182</v>
      </c>
      <c r="C80" t="s">
        <v>267</v>
      </c>
      <c r="D80" t="s">
        <v>268</v>
      </c>
      <c r="E80" t="s">
        <v>283</v>
      </c>
      <c r="F80" s="3">
        <v>45376</v>
      </c>
    </row>
    <row r="81" spans="1:6" x14ac:dyDescent="0.35">
      <c r="A81" t="s">
        <v>183</v>
      </c>
      <c r="B81" t="s">
        <v>184</v>
      </c>
      <c r="C81" t="s">
        <v>271</v>
      </c>
      <c r="D81" t="s">
        <v>272</v>
      </c>
      <c r="E81" t="s">
        <v>27</v>
      </c>
      <c r="F81" s="3">
        <v>45377</v>
      </c>
    </row>
    <row r="82" spans="1:6" x14ac:dyDescent="0.35">
      <c r="A82" t="s">
        <v>185</v>
      </c>
      <c r="B82" t="s">
        <v>186</v>
      </c>
      <c r="C82" t="s">
        <v>275</v>
      </c>
      <c r="D82" t="s">
        <v>276</v>
      </c>
      <c r="E82" t="s">
        <v>284</v>
      </c>
      <c r="F82" s="3">
        <v>45378</v>
      </c>
    </row>
    <row r="83" spans="1:6" x14ac:dyDescent="0.35">
      <c r="A83" t="s">
        <v>187</v>
      </c>
      <c r="B83" t="s">
        <v>188</v>
      </c>
      <c r="C83" t="s">
        <v>267</v>
      </c>
      <c r="D83" t="s">
        <v>269</v>
      </c>
      <c r="E83" t="s">
        <v>283</v>
      </c>
      <c r="F83" s="3">
        <v>45352</v>
      </c>
    </row>
    <row r="84" spans="1:6" x14ac:dyDescent="0.35">
      <c r="A84" t="s">
        <v>189</v>
      </c>
      <c r="B84" t="s">
        <v>190</v>
      </c>
      <c r="C84" t="s">
        <v>271</v>
      </c>
      <c r="D84" t="s">
        <v>273</v>
      </c>
      <c r="E84" t="s">
        <v>27</v>
      </c>
      <c r="F84" s="3">
        <v>45353</v>
      </c>
    </row>
    <row r="85" spans="1:6" x14ac:dyDescent="0.35">
      <c r="A85" t="s">
        <v>191</v>
      </c>
      <c r="B85" t="s">
        <v>192</v>
      </c>
      <c r="C85" t="s">
        <v>275</v>
      </c>
      <c r="D85" t="s">
        <v>277</v>
      </c>
      <c r="E85" t="s">
        <v>284</v>
      </c>
      <c r="F85" s="3">
        <v>45354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sheetViews>
  <sheetFormatPr defaultRowHeight="14.5" x14ac:dyDescent="0.35"/>
  <sheetData>
    <row r="1" spans="1:7" x14ac:dyDescent="0.35">
      <c r="A1" s="1" t="s">
        <v>227</v>
      </c>
      <c r="B1" s="1" t="s">
        <v>285</v>
      </c>
      <c r="C1" s="1" t="s">
        <v>286</v>
      </c>
      <c r="D1" s="1" t="s">
        <v>287</v>
      </c>
      <c r="E1" s="1" t="s">
        <v>288</v>
      </c>
      <c r="F1" s="1" t="s">
        <v>289</v>
      </c>
      <c r="G1" s="1" t="s">
        <v>290</v>
      </c>
    </row>
    <row r="2" spans="1:7" x14ac:dyDescent="0.35">
      <c r="A2" t="s">
        <v>267</v>
      </c>
      <c r="B2">
        <v>412880.44</v>
      </c>
      <c r="C2">
        <f>SUMIF(Allocation!$B:$B,$A2,Allocation!$E:$E)</f>
        <v>2449100.34</v>
      </c>
      <c r="D2">
        <f>C2-B2</f>
        <v>2036219.9</v>
      </c>
      <c r="E2" t="s">
        <v>291</v>
      </c>
      <c r="F2">
        <f>IFERROR(D2/B2,0)</f>
        <v>4.9317422254248706</v>
      </c>
      <c r="G2" t="str">
        <f>IF(ABS(F2)&gt;0.05,"REVIEW","")</f>
        <v>REVIEW</v>
      </c>
    </row>
    <row r="3" spans="1:7" x14ac:dyDescent="0.35">
      <c r="A3" t="s">
        <v>271</v>
      </c>
      <c r="B3">
        <v>388100.02</v>
      </c>
      <c r="C3">
        <f>SUMIF(Allocation!$B:$B,$A3,Allocation!$E:$E)</f>
        <v>2843188.09</v>
      </c>
      <c r="D3">
        <f>C3-B3</f>
        <v>2455088.0699999998</v>
      </c>
      <c r="E3" t="s">
        <v>292</v>
      </c>
      <c r="F3">
        <f>IFERROR(D3/B3,0)</f>
        <v>6.3259158554024291</v>
      </c>
      <c r="G3" t="str">
        <f>IF(ABS(F3)&gt;0.05,"REVIEW","")</f>
        <v>REVIEW</v>
      </c>
    </row>
    <row r="4" spans="1:7" x14ac:dyDescent="0.35">
      <c r="A4" t="s">
        <v>275</v>
      </c>
      <c r="B4">
        <v>205990.18</v>
      </c>
      <c r="C4">
        <f>SUMIF(Allocation!$B:$B,$A4,Allocation!$E:$E)</f>
        <v>2628747.3199999998</v>
      </c>
      <c r="D4">
        <f>C4-B4</f>
        <v>2422757.1399999997</v>
      </c>
      <c r="E4" t="s">
        <v>293</v>
      </c>
      <c r="F4">
        <f>IFERROR(D4/B4,0)</f>
        <v>11.761517660696251</v>
      </c>
      <c r="G4" t="str">
        <f>IF(ABS(F4)&gt;0.05,"REVIEW","")</f>
        <v>REVIEW</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3"/>
  <sheetViews>
    <sheetView workbookViewId="0"/>
  </sheetViews>
  <sheetFormatPr defaultRowHeight="14.5" x14ac:dyDescent="0.35"/>
  <sheetData>
    <row r="1" spans="1:1" ht="15.5" x14ac:dyDescent="0.35">
      <c r="A1" s="4" t="s">
        <v>294</v>
      </c>
    </row>
    <row r="3" spans="1:1" x14ac:dyDescent="0.35">
      <c r="A3" s="1" t="s">
        <v>295</v>
      </c>
    </row>
    <row r="4" spans="1:1" ht="406" x14ac:dyDescent="0.35">
      <c r="A4" s="5" t="s">
        <v>296</v>
      </c>
    </row>
    <row r="6" spans="1:1" x14ac:dyDescent="0.35">
      <c r="A6" s="1" t="s">
        <v>297</v>
      </c>
    </row>
    <row r="7" spans="1:1" ht="391.5" x14ac:dyDescent="0.35">
      <c r="A7" s="5" t="s">
        <v>298</v>
      </c>
    </row>
    <row r="9" spans="1:1" x14ac:dyDescent="0.35">
      <c r="A9" s="1" t="s">
        <v>299</v>
      </c>
    </row>
    <row r="10" spans="1:1" ht="409.5" x14ac:dyDescent="0.35">
      <c r="A10" s="5" t="s">
        <v>300</v>
      </c>
    </row>
    <row r="12" spans="1:1" x14ac:dyDescent="0.35">
      <c r="A12" s="1" t="s">
        <v>301</v>
      </c>
    </row>
    <row r="13" spans="1:1" ht="188.5" x14ac:dyDescent="0.35">
      <c r="A13" s="5" t="s">
        <v>302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Positions</vt:lpstr>
      <vt:lpstr>Fee Schedule</vt:lpstr>
      <vt:lpstr>Working</vt:lpstr>
      <vt:lpstr>Overrides</vt:lpstr>
      <vt:lpstr>Allocation</vt:lpstr>
      <vt:lpstr>Summary</vt:lpstr>
      <vt:lpstr>Post</vt:lpstr>
      <vt:lpstr>Entity Map</vt:lpstr>
      <vt:lpstr>Recon</vt: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 Harrison</cp:lastModifiedBy>
  <dcterms:created xsi:type="dcterms:W3CDTF">2026-01-01T00:00:00Z</dcterms:created>
  <dcterms:modified xsi:type="dcterms:W3CDTF">2026-01-01T00:00:00Z</dcterms:modified>
</cp:coreProperties>
</file>
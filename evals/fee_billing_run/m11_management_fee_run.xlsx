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Fee Schedule" sheetId="2" state="visible" r:id="rId2"/>
    <sheet xmlns:r="http://schemas.openxmlformats.org/officeDocument/2006/relationships" name="Working" sheetId="3" state="visible" r:id="rId3"/>
    <sheet xmlns:r="http://schemas.openxmlformats.org/officeDocument/2006/relationships" name="Overrides" sheetId="4" state="visible" r:id="rId4"/>
    <sheet xmlns:r="http://schemas.openxmlformats.org/officeDocument/2006/relationships" name="Allocation" sheetId="5" state="visible" r:id="rId5"/>
    <sheet xmlns:r="http://schemas.openxmlformats.org/officeDocument/2006/relationships" name="Summary" sheetId="6" state="visible" r:id="rId6"/>
    <sheet xmlns:r="http://schemas.openxmlformats.org/officeDocument/2006/relationships" name="Post" sheetId="7" state="visible" r:id="rId7"/>
    <sheet xmlns:r="http://schemas.openxmlformats.org/officeDocument/2006/relationships" name="Entity Map" sheetId="8" state="visible" r:id="rId8"/>
    <sheet xmlns:r="http://schemas.openxmlformats.org/officeDocument/2006/relationships" name="Recon" sheetId="9" state="visible" r:id="rId9"/>
    <sheet xmlns:r="http://schemas.openxmlformats.org/officeDocument/2006/relationships" name="Sign-off" sheetId="10" state="visible" r:id="rId10"/>
  </sheets>
  <definedNames/>
  <calcPr calcId="124519" fullCalcOnLoad="0"/>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font>
    <font>
      <name val="Consolas"/>
      <sz val="9"/>
    </font>
    <font>
      <b val="1"/>
      <sz val="12"/>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5"/>
  <sheetViews>
    <sheetView workbookViewId="0">
      <selection activeCell="A1" sqref="A1"/>
    </sheetView>
  </sheetViews>
  <sheetFormatPr baseColWidth="8" defaultRowHeight="15"/>
  <sheetData>
    <row r="1">
      <c r="A1" s="1" t="inlineStr">
        <is>
          <t>Positions extract -- run this against the warehouse, paste below</t>
        </is>
      </c>
    </row>
    <row r="3">
      <c r="A3" s="2" t="inlineStr">
        <is>
          <t>SELECT</t>
        </is>
      </c>
    </row>
    <row r="4">
      <c r="A4" s="2" t="inlineStr">
        <is>
          <t xml:space="preserve">       p.client_code,</t>
        </is>
      </c>
    </row>
    <row r="5">
      <c r="A5" s="2" t="inlineStr">
        <is>
          <t xml:space="preserve">       p.client_name,</t>
        </is>
      </c>
    </row>
    <row r="6">
      <c r="A6" s="2" t="inlineStr">
        <is>
          <t xml:space="preserve">       p.as_of_date,</t>
        </is>
      </c>
    </row>
    <row r="7">
      <c r="A7" s="2" t="inlineStr">
        <is>
          <t xml:space="preserve">       p.period_month,</t>
        </is>
      </c>
    </row>
    <row r="8">
      <c r="A8" s="2" t="inlineStr">
        <is>
          <t xml:space="preserve">       p.mandate,</t>
        </is>
      </c>
    </row>
    <row r="9">
      <c r="A9" s="2" t="inlineStr">
        <is>
          <t xml:space="preserve">       p.market_value_gbp</t>
        </is>
      </c>
    </row>
    <row r="10">
      <c r="A10" s="2" t="inlineStr">
        <is>
          <t xml:space="preserve">  FROM fin.positions p</t>
        </is>
      </c>
    </row>
    <row r="11">
      <c r="A11" s="2" t="inlineStr">
        <is>
          <t xml:space="preserve">  JOIN fin.mandates m</t>
        </is>
      </c>
    </row>
    <row r="12">
      <c r="A12" s="2" t="inlineStr">
        <is>
          <t xml:space="preserve">    ON m.client_code = p.client_code</t>
        </is>
      </c>
    </row>
    <row r="13">
      <c r="A13" s="2" t="inlineStr">
        <is>
          <t xml:space="preserve"> WHERE p.period_month IN ('2026-10', '2026-11')</t>
        </is>
      </c>
    </row>
    <row r="14">
      <c r="A14" s="2" t="inlineStr">
        <is>
          <t xml:space="preserve">   AND p.status &lt;&gt; 'CLOSED'</t>
        </is>
      </c>
    </row>
    <row r="15">
      <c r="A15" s="2" t="inlineStr">
        <is>
          <t xml:space="preserve"> ORDER BY p.client_code, p.as_of_date</t>
        </is>
      </c>
    </row>
    <row r="17">
      <c r="A17" s="1" t="inlineStr">
        <is>
          <t>client_code</t>
        </is>
      </c>
      <c r="B17" s="1" t="inlineStr">
        <is>
          <t>client_name</t>
        </is>
      </c>
      <c r="C17" s="1" t="inlineStr">
        <is>
          <t>as_of_date</t>
        </is>
      </c>
      <c r="D17" s="1" t="inlineStr">
        <is>
          <t>period_month</t>
        </is>
      </c>
      <c r="E17" s="1" t="inlineStr">
        <is>
          <t>mandate</t>
        </is>
      </c>
      <c r="F17" s="1" t="inlineStr">
        <is>
          <t>market_value_gbp</t>
        </is>
      </c>
    </row>
    <row r="18">
      <c r="A18" t="inlineStr">
        <is>
          <t>00001</t>
        </is>
      </c>
      <c r="B18" t="inlineStr">
        <is>
          <t>Client 001 Holdings</t>
        </is>
      </c>
      <c r="C18" s="3" t="n">
        <v>46323</v>
      </c>
      <c r="D18" t="inlineStr">
        <is>
          <t>2026-10</t>
        </is>
      </c>
      <c r="E18" t="inlineStr">
        <is>
          <t>balanced</t>
        </is>
      </c>
      <c r="F18" t="n">
        <v>8277234.35</v>
      </c>
    </row>
    <row r="19">
      <c r="A19" t="inlineStr">
        <is>
          <t>00001</t>
        </is>
      </c>
      <c r="B19" t="inlineStr">
        <is>
          <t>Client 001 Holdings</t>
        </is>
      </c>
      <c r="C19" s="3" t="n">
        <v>46354</v>
      </c>
      <c r="D19" t="inlineStr">
        <is>
          <t>2026-11</t>
        </is>
      </c>
      <c r="E19" t="inlineStr">
        <is>
          <t>balanced</t>
        </is>
      </c>
      <c r="F19" t="n">
        <v>14800745.5</v>
      </c>
    </row>
    <row r="20">
      <c r="A20" t="inlineStr">
        <is>
          <t>00002</t>
        </is>
      </c>
      <c r="B20" t="inlineStr">
        <is>
          <t>Client 002 Holdings</t>
        </is>
      </c>
      <c r="C20" s="3" t="n">
        <v>46323</v>
      </c>
      <c r="D20" t="inlineStr">
        <is>
          <t>2026-10</t>
        </is>
      </c>
      <c r="E20" t="inlineStr">
        <is>
          <t>equity</t>
        </is>
      </c>
      <c r="F20" t="n">
        <v>17676688.21</v>
      </c>
    </row>
    <row r="21">
      <c r="A21" t="inlineStr">
        <is>
          <t>00002</t>
        </is>
      </c>
      <c r="B21" t="inlineStr">
        <is>
          <t>Client 002 Holdings</t>
        </is>
      </c>
      <c r="C21" s="3" t="n">
        <v>46354</v>
      </c>
      <c r="D21" t="inlineStr">
        <is>
          <t>2026-11</t>
        </is>
      </c>
      <c r="E21" t="inlineStr">
        <is>
          <t>equity</t>
        </is>
      </c>
      <c r="F21" t="n">
        <v>89021932.86</v>
      </c>
    </row>
    <row r="22">
      <c r="A22" t="inlineStr">
        <is>
          <t>00003</t>
        </is>
      </c>
      <c r="B22" t="inlineStr">
        <is>
          <t>Client 003 Holdings</t>
        </is>
      </c>
      <c r="C22" s="3" t="n">
        <v>46323</v>
      </c>
      <c r="D22" t="inlineStr">
        <is>
          <t>2026-10</t>
        </is>
      </c>
      <c r="E22" t="inlineStr">
        <is>
          <t>fixed income</t>
        </is>
      </c>
      <c r="F22" t="n">
        <v>73487515.31</v>
      </c>
    </row>
    <row r="23">
      <c r="A23" t="inlineStr">
        <is>
          <t>00003</t>
        </is>
      </c>
      <c r="B23" t="inlineStr">
        <is>
          <t>Client 003 Holdings</t>
        </is>
      </c>
      <c r="C23" s="3" t="n">
        <v>46354</v>
      </c>
      <c r="D23" t="inlineStr">
        <is>
          <t>2026-11</t>
        </is>
      </c>
      <c r="E23" t="inlineStr">
        <is>
          <t>fixed income</t>
        </is>
      </c>
      <c r="F23" t="n">
        <v>5158139.95</v>
      </c>
    </row>
    <row r="24">
      <c r="A24" t="inlineStr">
        <is>
          <t>00004</t>
        </is>
      </c>
      <c r="B24" t="inlineStr">
        <is>
          <t>Client 004 Holdings</t>
        </is>
      </c>
      <c r="C24" s="3" t="n">
        <v>46323</v>
      </c>
      <c r="D24" t="inlineStr">
        <is>
          <t>2026-10</t>
        </is>
      </c>
      <c r="E24" t="inlineStr">
        <is>
          <t>balanced</t>
        </is>
      </c>
      <c r="F24" t="n">
        <v>120000</v>
      </c>
    </row>
    <row r="25">
      <c r="A25" t="inlineStr">
        <is>
          <t>00004</t>
        </is>
      </c>
      <c r="B25" t="inlineStr">
        <is>
          <t>Client 004 Holdings</t>
        </is>
      </c>
      <c r="C25" s="3" t="n">
        <v>46354</v>
      </c>
      <c r="D25" t="inlineStr">
        <is>
          <t>2026-11</t>
        </is>
      </c>
      <c r="E25" t="inlineStr">
        <is>
          <t>balanced</t>
        </is>
      </c>
      <c r="F25" t="n">
        <v>124800</v>
      </c>
    </row>
    <row r="26">
      <c r="A26" t="inlineStr">
        <is>
          <t>00005</t>
        </is>
      </c>
      <c r="B26" t="inlineStr">
        <is>
          <t>Client 005 Holdings</t>
        </is>
      </c>
      <c r="C26" s="3" t="n">
        <v>46323</v>
      </c>
      <c r="D26" t="inlineStr">
        <is>
          <t>2026-10</t>
        </is>
      </c>
      <c r="E26" t="inlineStr">
        <is>
          <t>equity</t>
        </is>
      </c>
      <c r="F26" t="n">
        <v>23039688.47</v>
      </c>
    </row>
    <row r="27">
      <c r="A27" t="inlineStr">
        <is>
          <t>00005</t>
        </is>
      </c>
      <c r="B27" t="inlineStr">
        <is>
          <t>Client 005 Holdings</t>
        </is>
      </c>
      <c r="C27" s="3" t="n">
        <v>46354</v>
      </c>
      <c r="D27" t="inlineStr">
        <is>
          <t>2026-11</t>
        </is>
      </c>
      <c r="E27" t="inlineStr">
        <is>
          <t>equity</t>
        </is>
      </c>
      <c r="F27" t="n">
        <v>66635792.28</v>
      </c>
    </row>
    <row r="28">
      <c r="A28" t="inlineStr">
        <is>
          <t>00006</t>
        </is>
      </c>
      <c r="B28" t="inlineStr">
        <is>
          <t>Client 006 Holdings</t>
        </is>
      </c>
      <c r="C28" s="3" t="n">
        <v>46323</v>
      </c>
      <c r="D28" t="inlineStr">
        <is>
          <t>2026-10</t>
        </is>
      </c>
      <c r="E28" t="inlineStr">
        <is>
          <t>fixed income</t>
        </is>
      </c>
      <c r="F28" t="n">
        <v>63333653.09</v>
      </c>
    </row>
    <row r="29">
      <c r="A29" t="inlineStr">
        <is>
          <t>00006</t>
        </is>
      </c>
      <c r="B29" t="inlineStr">
        <is>
          <t>Client 006 Holdings</t>
        </is>
      </c>
      <c r="C29" s="3" t="n">
        <v>46354</v>
      </c>
      <c r="D29" t="inlineStr">
        <is>
          <t>2026-11</t>
        </is>
      </c>
      <c r="E29" t="inlineStr">
        <is>
          <t>fixed income</t>
        </is>
      </c>
      <c r="F29" t="n">
        <v>10520983.57</v>
      </c>
    </row>
    <row r="30">
      <c r="A30" t="inlineStr">
        <is>
          <t>00007</t>
        </is>
      </c>
      <c r="B30" t="inlineStr">
        <is>
          <t>Client 007 Holdings</t>
        </is>
      </c>
      <c r="C30" s="3" t="n">
        <v>46323</v>
      </c>
      <c r="D30" t="inlineStr">
        <is>
          <t>2026-10</t>
        </is>
      </c>
      <c r="E30" t="inlineStr">
        <is>
          <t>balanced</t>
        </is>
      </c>
      <c r="F30" t="n">
        <v>40888443.27</v>
      </c>
    </row>
    <row r="31">
      <c r="A31" t="inlineStr">
        <is>
          <t>00007</t>
        </is>
      </c>
      <c r="B31" t="inlineStr">
        <is>
          <t>Client 007 Holdings</t>
        </is>
      </c>
      <c r="C31" s="3" t="n">
        <v>46354</v>
      </c>
      <c r="D31" t="inlineStr">
        <is>
          <t>2026-11</t>
        </is>
      </c>
      <c r="E31" t="inlineStr">
        <is>
          <t>balanced</t>
        </is>
      </c>
      <c r="F31" t="n">
        <v>17237751.46</v>
      </c>
    </row>
    <row r="32">
      <c r="A32" t="inlineStr">
        <is>
          <t>00008</t>
        </is>
      </c>
      <c r="B32" t="inlineStr">
        <is>
          <t>Client 008 Holdings</t>
        </is>
      </c>
      <c r="C32" s="3" t="n">
        <v>46323</v>
      </c>
      <c r="D32" t="inlineStr">
        <is>
          <t>2026-10</t>
        </is>
      </c>
      <c r="E32" t="inlineStr">
        <is>
          <t>equity</t>
        </is>
      </c>
      <c r="F32" t="n">
        <v>58018817.14</v>
      </c>
    </row>
    <row r="33">
      <c r="A33" t="inlineStr">
        <is>
          <t>00008</t>
        </is>
      </c>
      <c r="B33" t="inlineStr">
        <is>
          <t>Client 008 Holdings</t>
        </is>
      </c>
      <c r="C33" s="3" t="n">
        <v>46354</v>
      </c>
      <c r="D33" t="inlineStr">
        <is>
          <t>2026-11</t>
        </is>
      </c>
      <c r="E33" t="inlineStr">
        <is>
          <t>equity</t>
        </is>
      </c>
      <c r="F33" t="n">
        <v>16332070.89</v>
      </c>
    </row>
    <row r="34">
      <c r="A34" t="inlineStr">
        <is>
          <t>00009</t>
        </is>
      </c>
      <c r="B34" t="inlineStr">
        <is>
          <t>Client 009 Holdings</t>
        </is>
      </c>
      <c r="C34" s="3" t="n">
        <v>46323</v>
      </c>
      <c r="D34" t="inlineStr">
        <is>
          <t>2026-10</t>
        </is>
      </c>
      <c r="E34" t="inlineStr">
        <is>
          <t>fixed income</t>
        </is>
      </c>
      <c r="F34" t="n">
        <v>29048632.21</v>
      </c>
    </row>
    <row r="35">
      <c r="A35" t="inlineStr">
        <is>
          <t>00009</t>
        </is>
      </c>
      <c r="B35" t="inlineStr">
        <is>
          <t>Client 009 Holdings</t>
        </is>
      </c>
      <c r="C35" s="3" t="n">
        <v>46354</v>
      </c>
      <c r="D35" t="inlineStr">
        <is>
          <t>2026-11</t>
        </is>
      </c>
      <c r="E35" t="inlineStr">
        <is>
          <t>fixed income</t>
        </is>
      </c>
      <c r="F35" t="n">
        <v>66818137.36</v>
      </c>
    </row>
    <row r="36">
      <c r="A36" t="inlineStr">
        <is>
          <t>00010</t>
        </is>
      </c>
      <c r="B36" t="inlineStr">
        <is>
          <t>Client 010 Holdings</t>
        </is>
      </c>
      <c r="C36" s="3" t="n">
        <v>46323</v>
      </c>
      <c r="D36" t="inlineStr">
        <is>
          <t>2026-10</t>
        </is>
      </c>
      <c r="E36" t="inlineStr">
        <is>
          <t>balanced</t>
        </is>
      </c>
      <c r="F36" t="n">
        <v>30750459.97</v>
      </c>
    </row>
    <row r="37">
      <c r="A37" t="inlineStr">
        <is>
          <t>00010</t>
        </is>
      </c>
      <c r="B37" t="inlineStr">
        <is>
          <t>Client 010 Holdings</t>
        </is>
      </c>
      <c r="C37" s="3" t="n">
        <v>46354</v>
      </c>
      <c r="D37" t="inlineStr">
        <is>
          <t>2026-11</t>
        </is>
      </c>
      <c r="E37" t="inlineStr">
        <is>
          <t>balanced</t>
        </is>
      </c>
      <c r="F37" t="n">
        <v>78977381.48</v>
      </c>
    </row>
    <row r="38">
      <c r="A38" t="inlineStr">
        <is>
          <t>00011</t>
        </is>
      </c>
      <c r="B38" t="inlineStr">
        <is>
          <t>Client 011 Holdings</t>
        </is>
      </c>
      <c r="C38" s="3" t="n">
        <v>46323</v>
      </c>
      <c r="D38" t="inlineStr">
        <is>
          <t>2026-10</t>
        </is>
      </c>
      <c r="E38" t="inlineStr">
        <is>
          <t>equity</t>
        </is>
      </c>
      <c r="F38" t="n">
        <v>22031121.32</v>
      </c>
    </row>
    <row r="39">
      <c r="A39" t="inlineStr">
        <is>
          <t>00011</t>
        </is>
      </c>
      <c r="B39" t="inlineStr">
        <is>
          <t>Client 011 Holdings</t>
        </is>
      </c>
      <c r="C39" s="3" t="n">
        <v>46354</v>
      </c>
      <c r="D39" t="inlineStr">
        <is>
          <t>2026-11</t>
        </is>
      </c>
      <c r="E39" t="inlineStr">
        <is>
          <t>equity</t>
        </is>
      </c>
      <c r="F39" t="n">
        <v>10782747.37</v>
      </c>
    </row>
    <row r="40">
      <c r="A40" t="inlineStr">
        <is>
          <t>00012</t>
        </is>
      </c>
      <c r="B40" t="inlineStr">
        <is>
          <t>Client 012 Holdings</t>
        </is>
      </c>
      <c r="C40" s="3" t="n">
        <v>46323</v>
      </c>
      <c r="D40" t="inlineStr">
        <is>
          <t>2026-10</t>
        </is>
      </c>
      <c r="E40" t="inlineStr">
        <is>
          <t>fixed income</t>
        </is>
      </c>
      <c r="F40" t="n">
        <v>6883612.43</v>
      </c>
    </row>
    <row r="41">
      <c r="A41" t="inlineStr">
        <is>
          <t>00012</t>
        </is>
      </c>
      <c r="B41" t="inlineStr">
        <is>
          <t>Client 012 Holdings</t>
        </is>
      </c>
      <c r="C41" s="3" t="n">
        <v>46354</v>
      </c>
      <c r="D41" t="inlineStr">
        <is>
          <t>2026-11</t>
        </is>
      </c>
      <c r="E41" t="inlineStr">
        <is>
          <t>fixed income</t>
        </is>
      </c>
      <c r="F41" t="n">
        <v>19809329.21</v>
      </c>
    </row>
    <row r="42">
      <c r="A42" t="inlineStr">
        <is>
          <t>00013</t>
        </is>
      </c>
      <c r="B42" t="inlineStr">
        <is>
          <t>Client 013 Holdings</t>
        </is>
      </c>
      <c r="C42" s="3" t="n">
        <v>46323</v>
      </c>
      <c r="D42" t="inlineStr">
        <is>
          <t>2026-10</t>
        </is>
      </c>
      <c r="E42" t="inlineStr">
        <is>
          <t>balanced</t>
        </is>
      </c>
      <c r="F42" t="n">
        <v>43570496.08</v>
      </c>
    </row>
    <row r="43">
      <c r="A43" t="inlineStr">
        <is>
          <t>00013</t>
        </is>
      </c>
      <c r="B43" t="inlineStr">
        <is>
          <t>Client 013 Holdings</t>
        </is>
      </c>
      <c r="C43" s="3" t="n">
        <v>46354</v>
      </c>
      <c r="D43" t="inlineStr">
        <is>
          <t>2026-11</t>
        </is>
      </c>
      <c r="E43" t="inlineStr">
        <is>
          <t>balanced</t>
        </is>
      </c>
      <c r="F43" t="n">
        <v>10420038.33</v>
      </c>
    </row>
    <row r="44">
      <c r="A44" t="inlineStr">
        <is>
          <t>00014</t>
        </is>
      </c>
      <c r="B44" t="inlineStr">
        <is>
          <t>Client 014 Holdings</t>
        </is>
      </c>
      <c r="C44" s="3" t="n">
        <v>46323</v>
      </c>
      <c r="D44" t="inlineStr">
        <is>
          <t>2026-10</t>
        </is>
      </c>
      <c r="E44" t="inlineStr">
        <is>
          <t>equity</t>
        </is>
      </c>
      <c r="F44" t="n">
        <v>32971873.99</v>
      </c>
    </row>
    <row r="45">
      <c r="A45" t="inlineStr">
        <is>
          <t>00014</t>
        </is>
      </c>
      <c r="B45" t="inlineStr">
        <is>
          <t>Client 014 Holdings</t>
        </is>
      </c>
      <c r="C45" s="3" t="n">
        <v>46354</v>
      </c>
      <c r="D45" t="inlineStr">
        <is>
          <t>2026-11</t>
        </is>
      </c>
      <c r="E45" t="inlineStr">
        <is>
          <t>equity</t>
        </is>
      </c>
      <c r="F45" t="n">
        <v>7879667.18</v>
      </c>
    </row>
    <row r="46">
      <c r="A46" t="inlineStr">
        <is>
          <t>00015</t>
        </is>
      </c>
      <c r="B46" t="inlineStr">
        <is>
          <t>Client 015 Holdings</t>
        </is>
      </c>
      <c r="C46" s="3" t="n">
        <v>46323</v>
      </c>
      <c r="D46" t="inlineStr">
        <is>
          <t>2026-10</t>
        </is>
      </c>
      <c r="E46" t="inlineStr">
        <is>
          <t>fixed income</t>
        </is>
      </c>
      <c r="F46" t="n">
        <v>11859732.04</v>
      </c>
    </row>
    <row r="47">
      <c r="A47" t="inlineStr">
        <is>
          <t>00015</t>
        </is>
      </c>
      <c r="B47" t="inlineStr">
        <is>
          <t>Client 015 Holdings</t>
        </is>
      </c>
      <c r="C47" s="3" t="n">
        <v>46354</v>
      </c>
      <c r="D47" t="inlineStr">
        <is>
          <t>2026-11</t>
        </is>
      </c>
      <c r="E47" t="inlineStr">
        <is>
          <t>fixed income</t>
        </is>
      </c>
      <c r="F47" t="n">
        <v>70617244.11</v>
      </c>
    </row>
    <row r="48">
      <c r="A48" t="inlineStr">
        <is>
          <t>00016</t>
        </is>
      </c>
      <c r="B48" t="inlineStr">
        <is>
          <t>Client 016 Holdings</t>
        </is>
      </c>
      <c r="C48" s="3" t="n">
        <v>46323</v>
      </c>
      <c r="D48" t="inlineStr">
        <is>
          <t>2026-10</t>
        </is>
      </c>
      <c r="E48" t="inlineStr">
        <is>
          <t>balanced</t>
        </is>
      </c>
      <c r="F48" t="n">
        <v>53007850.31</v>
      </c>
    </row>
    <row r="49">
      <c r="A49" t="inlineStr">
        <is>
          <t>00016</t>
        </is>
      </c>
      <c r="B49" t="inlineStr">
        <is>
          <t>Client 016 Holdings</t>
        </is>
      </c>
      <c r="C49" s="3" t="n">
        <v>46354</v>
      </c>
      <c r="D49" t="inlineStr">
        <is>
          <t>2026-11</t>
        </is>
      </c>
      <c r="E49" t="inlineStr">
        <is>
          <t>balanced</t>
        </is>
      </c>
      <c r="F49" t="n">
        <v>88620282.88</v>
      </c>
    </row>
    <row r="50">
      <c r="A50" t="inlineStr">
        <is>
          <t>00017</t>
        </is>
      </c>
      <c r="B50" t="inlineStr">
        <is>
          <t>Client 017 Holdings</t>
        </is>
      </c>
      <c r="C50" s="3" t="n">
        <v>46323</v>
      </c>
      <c r="D50" t="inlineStr">
        <is>
          <t>2026-10</t>
        </is>
      </c>
      <c r="E50" t="inlineStr">
        <is>
          <t>equity</t>
        </is>
      </c>
      <c r="F50" t="n">
        <v>4412020.13</v>
      </c>
    </row>
    <row r="51">
      <c r="A51" t="inlineStr">
        <is>
          <t>00017</t>
        </is>
      </c>
      <c r="B51" t="inlineStr">
        <is>
          <t>Client 017 Holdings</t>
        </is>
      </c>
      <c r="C51" s="3" t="n">
        <v>46354</v>
      </c>
      <c r="D51" t="inlineStr">
        <is>
          <t>2026-11</t>
        </is>
      </c>
      <c r="E51" t="inlineStr">
        <is>
          <t>equity</t>
        </is>
      </c>
      <c r="F51" t="n">
        <v>10007080.33</v>
      </c>
    </row>
    <row r="52">
      <c r="A52" t="inlineStr">
        <is>
          <t>00018</t>
        </is>
      </c>
      <c r="B52" t="inlineStr">
        <is>
          <t>Client 018 Holdings</t>
        </is>
      </c>
      <c r="C52" s="3" t="n">
        <v>46323</v>
      </c>
      <c r="D52" t="inlineStr">
        <is>
          <t>2026-10</t>
        </is>
      </c>
      <c r="E52" t="inlineStr">
        <is>
          <t>fixed income</t>
        </is>
      </c>
      <c r="F52" t="n">
        <v>19140123.32</v>
      </c>
    </row>
    <row r="53">
      <c r="A53" t="inlineStr">
        <is>
          <t>00018</t>
        </is>
      </c>
      <c r="B53" t="inlineStr">
        <is>
          <t>Client 018 Holdings</t>
        </is>
      </c>
      <c r="C53" s="3" t="n">
        <v>46354</v>
      </c>
      <c r="D53" t="inlineStr">
        <is>
          <t>2026-11</t>
        </is>
      </c>
      <c r="E53" t="inlineStr">
        <is>
          <t>fixed income</t>
        </is>
      </c>
      <c r="F53" t="n">
        <v>68091385.23999999</v>
      </c>
    </row>
    <row r="54">
      <c r="A54" t="inlineStr">
        <is>
          <t>00019</t>
        </is>
      </c>
      <c r="B54" t="inlineStr">
        <is>
          <t>Client 019 Holdings</t>
        </is>
      </c>
      <c r="C54" s="3" t="n">
        <v>46323</v>
      </c>
      <c r="D54" t="inlineStr">
        <is>
          <t>2026-10</t>
        </is>
      </c>
      <c r="E54" t="inlineStr">
        <is>
          <t>balanced</t>
        </is>
      </c>
      <c r="F54" t="n">
        <v>20984634.27</v>
      </c>
    </row>
    <row r="55">
      <c r="A55" t="inlineStr">
        <is>
          <t>00019</t>
        </is>
      </c>
      <c r="B55" t="inlineStr">
        <is>
          <t>Client 019 Holdings</t>
        </is>
      </c>
      <c r="C55" s="3" t="n">
        <v>46354</v>
      </c>
      <c r="D55" t="inlineStr">
        <is>
          <t>2026-11</t>
        </is>
      </c>
      <c r="E55" t="inlineStr">
        <is>
          <t>balanced</t>
        </is>
      </c>
      <c r="F55" t="n">
        <v>43203961.76</v>
      </c>
    </row>
    <row r="56">
      <c r="A56" t="inlineStr">
        <is>
          <t>00020</t>
        </is>
      </c>
      <c r="B56" t="inlineStr">
        <is>
          <t>Client 020 Holdings</t>
        </is>
      </c>
      <c r="C56" s="3" t="n">
        <v>46323</v>
      </c>
      <c r="D56" t="inlineStr">
        <is>
          <t>2026-10</t>
        </is>
      </c>
      <c r="E56" t="inlineStr">
        <is>
          <t>equity</t>
        </is>
      </c>
      <c r="F56" t="n">
        <v>87845303.97</v>
      </c>
    </row>
    <row r="57">
      <c r="A57" t="inlineStr">
        <is>
          <t>00020</t>
        </is>
      </c>
      <c r="B57" t="inlineStr">
        <is>
          <t>Client 020 Holdings</t>
        </is>
      </c>
      <c r="C57" s="3" t="n">
        <v>46354</v>
      </c>
      <c r="D57" t="inlineStr">
        <is>
          <t>2026-11</t>
        </is>
      </c>
      <c r="E57" t="inlineStr">
        <is>
          <t>equity</t>
        </is>
      </c>
      <c r="F57" t="n">
        <v>84163479.03</v>
      </c>
    </row>
    <row r="58">
      <c r="A58" t="inlineStr">
        <is>
          <t>00021</t>
        </is>
      </c>
      <c r="B58" t="inlineStr">
        <is>
          <t>Client 021 Holdings</t>
        </is>
      </c>
      <c r="C58" s="3" t="n">
        <v>46323</v>
      </c>
      <c r="D58" t="inlineStr">
        <is>
          <t>2026-10</t>
        </is>
      </c>
      <c r="E58" t="inlineStr">
        <is>
          <t>fixed income</t>
        </is>
      </c>
      <c r="F58" t="n">
        <v>83871574.48</v>
      </c>
    </row>
    <row r="59">
      <c r="A59" t="inlineStr">
        <is>
          <t>00021</t>
        </is>
      </c>
      <c r="B59" t="inlineStr">
        <is>
          <t>Client 021 Holdings</t>
        </is>
      </c>
      <c r="C59" s="3" t="n">
        <v>46354</v>
      </c>
      <c r="D59" t="inlineStr">
        <is>
          <t>2026-11</t>
        </is>
      </c>
      <c r="E59" t="inlineStr">
        <is>
          <t>fixed income</t>
        </is>
      </c>
      <c r="F59" t="n">
        <v>73155128</v>
      </c>
    </row>
    <row r="60">
      <c r="A60" t="inlineStr">
        <is>
          <t>00022</t>
        </is>
      </c>
      <c r="B60" t="inlineStr">
        <is>
          <t>Client 022 Holdings</t>
        </is>
      </c>
      <c r="C60" s="3" t="n">
        <v>46323</v>
      </c>
      <c r="D60" t="inlineStr">
        <is>
          <t>2026-10</t>
        </is>
      </c>
      <c r="E60" t="inlineStr">
        <is>
          <t>balanced</t>
        </is>
      </c>
      <c r="F60" t="n">
        <v>15144691.07</v>
      </c>
    </row>
    <row r="61">
      <c r="A61" t="inlineStr">
        <is>
          <t>00022</t>
        </is>
      </c>
      <c r="B61" t="inlineStr">
        <is>
          <t>Client 022 Holdings</t>
        </is>
      </c>
      <c r="C61" s="3" t="n">
        <v>46354</v>
      </c>
      <c r="D61" t="inlineStr">
        <is>
          <t>2026-11</t>
        </is>
      </c>
      <c r="E61" t="inlineStr">
        <is>
          <t>balanced</t>
        </is>
      </c>
      <c r="F61" t="n">
        <v>72023153.20999999</v>
      </c>
    </row>
    <row r="62">
      <c r="A62" t="inlineStr">
        <is>
          <t>00023</t>
        </is>
      </c>
      <c r="B62" t="inlineStr">
        <is>
          <t>Client 023 Holdings</t>
        </is>
      </c>
      <c r="C62" s="3" t="n">
        <v>46323</v>
      </c>
      <c r="D62" t="inlineStr">
        <is>
          <t>2026-10</t>
        </is>
      </c>
      <c r="E62" t="inlineStr">
        <is>
          <t>equity</t>
        </is>
      </c>
      <c r="F62" t="n">
        <v>75327111.64</v>
      </c>
    </row>
    <row r="63">
      <c r="A63" t="inlineStr">
        <is>
          <t>00023</t>
        </is>
      </c>
      <c r="B63" t="inlineStr">
        <is>
          <t>Client 023 Holdings</t>
        </is>
      </c>
      <c r="C63" s="3" t="n">
        <v>46354</v>
      </c>
      <c r="D63" t="inlineStr">
        <is>
          <t>2026-11</t>
        </is>
      </c>
      <c r="E63" t="inlineStr">
        <is>
          <t>equity</t>
        </is>
      </c>
      <c r="F63" t="n">
        <v>12308107.16</v>
      </c>
    </row>
    <row r="64">
      <c r="A64" t="inlineStr">
        <is>
          <t>00024</t>
        </is>
      </c>
      <c r="B64" t="inlineStr">
        <is>
          <t>Client 024 Holdings</t>
        </is>
      </c>
      <c r="C64" s="3" t="n">
        <v>46323</v>
      </c>
      <c r="D64" t="inlineStr">
        <is>
          <t>2026-10</t>
        </is>
      </c>
      <c r="E64" t="inlineStr">
        <is>
          <t>fixed income</t>
        </is>
      </c>
      <c r="F64" t="n">
        <v>45574045.87</v>
      </c>
    </row>
    <row r="65">
      <c r="A65" t="inlineStr">
        <is>
          <t>00024</t>
        </is>
      </c>
      <c r="B65" t="inlineStr">
        <is>
          <t>Client 024 Holdings</t>
        </is>
      </c>
      <c r="C65" s="3" t="n">
        <v>46354</v>
      </c>
      <c r="D65" t="inlineStr">
        <is>
          <t>2026-11</t>
        </is>
      </c>
      <c r="E65" t="inlineStr">
        <is>
          <t>fixed income</t>
        </is>
      </c>
      <c r="F65" t="n">
        <v>63453476.85</v>
      </c>
    </row>
    <row r="66">
      <c r="A66" t="inlineStr">
        <is>
          <t>00025</t>
        </is>
      </c>
      <c r="B66" t="inlineStr">
        <is>
          <t>Client 025 Holdings</t>
        </is>
      </c>
      <c r="C66" s="3" t="n">
        <v>46323</v>
      </c>
      <c r="D66" t="inlineStr">
        <is>
          <t>2026-10</t>
        </is>
      </c>
      <c r="E66" t="inlineStr">
        <is>
          <t>balanced</t>
        </is>
      </c>
      <c r="F66" t="n">
        <v>10039727.33</v>
      </c>
    </row>
    <row r="67">
      <c r="A67" t="inlineStr">
        <is>
          <t>00025</t>
        </is>
      </c>
      <c r="B67" t="inlineStr">
        <is>
          <t>Client 025 Holdings</t>
        </is>
      </c>
      <c r="C67" s="3" t="n">
        <v>46354</v>
      </c>
      <c r="D67" t="inlineStr">
        <is>
          <t>2026-11</t>
        </is>
      </c>
      <c r="E67" t="inlineStr">
        <is>
          <t>balanced</t>
        </is>
      </c>
      <c r="F67" t="n">
        <v>47315234.71</v>
      </c>
    </row>
    <row r="68">
      <c r="A68" t="inlineStr">
        <is>
          <t>00026</t>
        </is>
      </c>
      <c r="B68" t="inlineStr">
        <is>
          <t>Client 026 Holdings</t>
        </is>
      </c>
      <c r="C68" s="3" t="n">
        <v>46323</v>
      </c>
      <c r="D68" t="inlineStr">
        <is>
          <t>2026-10</t>
        </is>
      </c>
      <c r="E68" t="inlineStr">
        <is>
          <t>equity</t>
        </is>
      </c>
      <c r="F68" t="n">
        <v>54469367.12</v>
      </c>
    </row>
    <row r="69">
      <c r="A69" t="inlineStr">
        <is>
          <t>00026</t>
        </is>
      </c>
      <c r="B69" t="inlineStr">
        <is>
          <t>Client 026 Holdings</t>
        </is>
      </c>
      <c r="C69" s="3" t="n">
        <v>46354</v>
      </c>
      <c r="D69" t="inlineStr">
        <is>
          <t>2026-11</t>
        </is>
      </c>
      <c r="E69" t="inlineStr">
        <is>
          <t>equity</t>
        </is>
      </c>
      <c r="F69" t="n">
        <v>84073681.94</v>
      </c>
    </row>
    <row r="70">
      <c r="A70" t="inlineStr">
        <is>
          <t>00027</t>
        </is>
      </c>
      <c r="B70" t="inlineStr">
        <is>
          <t>Client 027 Holdings</t>
        </is>
      </c>
      <c r="C70" s="3" t="n">
        <v>46323</v>
      </c>
      <c r="D70" t="inlineStr">
        <is>
          <t>2026-10</t>
        </is>
      </c>
      <c r="E70" t="inlineStr">
        <is>
          <t>fixed income</t>
        </is>
      </c>
      <c r="F70" t="n">
        <v>11518810.23</v>
      </c>
    </row>
    <row r="71">
      <c r="A71" t="inlineStr">
        <is>
          <t>00027</t>
        </is>
      </c>
      <c r="B71" t="inlineStr">
        <is>
          <t>Client 027 Holdings</t>
        </is>
      </c>
      <c r="C71" s="3" t="n">
        <v>46354</v>
      </c>
      <c r="D71" t="inlineStr">
        <is>
          <t>2026-11</t>
        </is>
      </c>
      <c r="E71" t="inlineStr">
        <is>
          <t>fixed income</t>
        </is>
      </c>
      <c r="F71" t="n">
        <v>58907441.32</v>
      </c>
    </row>
    <row r="72">
      <c r="A72" t="inlineStr">
        <is>
          <t>00028</t>
        </is>
      </c>
      <c r="B72" t="inlineStr">
        <is>
          <t>Client 028 Holdings</t>
        </is>
      </c>
      <c r="C72" s="3" t="n">
        <v>46323</v>
      </c>
      <c r="D72" t="inlineStr">
        <is>
          <t>2026-10</t>
        </is>
      </c>
      <c r="E72" t="inlineStr">
        <is>
          <t>balanced</t>
        </is>
      </c>
      <c r="F72" t="n">
        <v>185000</v>
      </c>
    </row>
    <row r="73">
      <c r="A73" t="inlineStr">
        <is>
          <t>00028</t>
        </is>
      </c>
      <c r="B73" t="inlineStr">
        <is>
          <t>Client 028 Holdings</t>
        </is>
      </c>
      <c r="C73" s="3" t="n">
        <v>46354</v>
      </c>
      <c r="D73" t="inlineStr">
        <is>
          <t>2026-11</t>
        </is>
      </c>
      <c r="E73" t="inlineStr">
        <is>
          <t>balanced</t>
        </is>
      </c>
      <c r="F73" t="n">
        <v>192400</v>
      </c>
    </row>
    <row r="74">
      <c r="A74" t="inlineStr">
        <is>
          <t>00029</t>
        </is>
      </c>
      <c r="B74" t="inlineStr">
        <is>
          <t>Client 029 Holdings</t>
        </is>
      </c>
      <c r="C74" s="3" t="n">
        <v>46323</v>
      </c>
      <c r="D74" t="inlineStr">
        <is>
          <t>2026-10</t>
        </is>
      </c>
      <c r="E74" t="inlineStr">
        <is>
          <t>equity</t>
        </is>
      </c>
      <c r="F74" t="n">
        <v>79727071.37</v>
      </c>
    </row>
    <row r="75">
      <c r="A75" t="inlineStr">
        <is>
          <t>00029</t>
        </is>
      </c>
      <c r="B75" t="inlineStr">
        <is>
          <t>Client 029 Holdings</t>
        </is>
      </c>
      <c r="C75" s="3" t="n">
        <v>46354</v>
      </c>
      <c r="D75" t="inlineStr">
        <is>
          <t>2026-11</t>
        </is>
      </c>
      <c r="E75" t="inlineStr">
        <is>
          <t>equity</t>
        </is>
      </c>
      <c r="F75" t="n">
        <v>74199864.28</v>
      </c>
    </row>
    <row r="76">
      <c r="A76" t="inlineStr">
        <is>
          <t>00030</t>
        </is>
      </c>
      <c r="B76" t="inlineStr">
        <is>
          <t>Client 030 Holdings</t>
        </is>
      </c>
      <c r="C76" s="3" t="n">
        <v>46323</v>
      </c>
      <c r="D76" t="inlineStr">
        <is>
          <t>2026-10</t>
        </is>
      </c>
      <c r="E76" t="inlineStr">
        <is>
          <t>fixed income</t>
        </is>
      </c>
      <c r="F76" t="n">
        <v>19610812.42</v>
      </c>
    </row>
    <row r="77">
      <c r="A77" t="inlineStr">
        <is>
          <t>00030</t>
        </is>
      </c>
      <c r="B77" t="inlineStr">
        <is>
          <t>Client 030 Holdings</t>
        </is>
      </c>
      <c r="C77" s="3" t="n">
        <v>46354</v>
      </c>
      <c r="D77" t="inlineStr">
        <is>
          <t>2026-11</t>
        </is>
      </c>
      <c r="E77" t="inlineStr">
        <is>
          <t>fixed income</t>
        </is>
      </c>
      <c r="F77" t="n">
        <v>83917549.51000001</v>
      </c>
    </row>
    <row r="78">
      <c r="A78" t="inlineStr">
        <is>
          <t>00031</t>
        </is>
      </c>
      <c r="B78" t="inlineStr">
        <is>
          <t>Client 031 Holdings</t>
        </is>
      </c>
      <c r="C78" s="3" t="n">
        <v>46323</v>
      </c>
      <c r="D78" t="inlineStr">
        <is>
          <t>2026-10</t>
        </is>
      </c>
      <c r="E78" t="inlineStr">
        <is>
          <t>balanced</t>
        </is>
      </c>
      <c r="F78" t="n">
        <v>38534192.64</v>
      </c>
    </row>
    <row r="79">
      <c r="A79" t="inlineStr">
        <is>
          <t>00031</t>
        </is>
      </c>
      <c r="B79" t="inlineStr">
        <is>
          <t>Client 031 Holdings</t>
        </is>
      </c>
      <c r="C79" s="3" t="n">
        <v>46354</v>
      </c>
      <c r="D79" t="inlineStr">
        <is>
          <t>2026-11</t>
        </is>
      </c>
      <c r="E79" t="inlineStr">
        <is>
          <t>balanced</t>
        </is>
      </c>
      <c r="F79" t="n">
        <v>87506157.78</v>
      </c>
    </row>
    <row r="80">
      <c r="A80" t="inlineStr">
        <is>
          <t>00032</t>
        </is>
      </c>
      <c r="B80" t="inlineStr">
        <is>
          <t>Client 032 Holdings</t>
        </is>
      </c>
      <c r="C80" s="3" t="n">
        <v>46323</v>
      </c>
      <c r="D80" t="inlineStr">
        <is>
          <t>2026-10</t>
        </is>
      </c>
      <c r="E80" t="inlineStr">
        <is>
          <t>equity</t>
        </is>
      </c>
      <c r="F80" t="n">
        <v>22708271.36</v>
      </c>
    </row>
    <row r="81">
      <c r="A81" t="inlineStr">
        <is>
          <t>00032</t>
        </is>
      </c>
      <c r="B81" t="inlineStr">
        <is>
          <t>Client 032 Holdings</t>
        </is>
      </c>
      <c r="C81" s="3" t="n">
        <v>46354</v>
      </c>
      <c r="D81" t="inlineStr">
        <is>
          <t>2026-11</t>
        </is>
      </c>
      <c r="E81" t="inlineStr">
        <is>
          <t>equity</t>
        </is>
      </c>
      <c r="F81" t="n">
        <v>78977433.90000001</v>
      </c>
    </row>
    <row r="82">
      <c r="A82" t="inlineStr">
        <is>
          <t>00033</t>
        </is>
      </c>
      <c r="B82" t="inlineStr">
        <is>
          <t>Client 033 Holdings</t>
        </is>
      </c>
      <c r="C82" s="3" t="n">
        <v>46323</v>
      </c>
      <c r="D82" t="inlineStr">
        <is>
          <t>2026-10</t>
        </is>
      </c>
      <c r="E82" t="inlineStr">
        <is>
          <t>fixed income</t>
        </is>
      </c>
      <c r="F82" t="n">
        <v>79053999.95</v>
      </c>
    </row>
    <row r="83">
      <c r="A83" t="inlineStr">
        <is>
          <t>00033</t>
        </is>
      </c>
      <c r="B83" t="inlineStr">
        <is>
          <t>Client 033 Holdings</t>
        </is>
      </c>
      <c r="C83" s="3" t="n">
        <v>46354</v>
      </c>
      <c r="D83" t="inlineStr">
        <is>
          <t>2026-11</t>
        </is>
      </c>
      <c r="E83" t="inlineStr">
        <is>
          <t>fixed income</t>
        </is>
      </c>
      <c r="F83" t="n">
        <v>56917464.09</v>
      </c>
    </row>
    <row r="84">
      <c r="A84" t="inlineStr">
        <is>
          <t>00034</t>
        </is>
      </c>
      <c r="B84" t="inlineStr">
        <is>
          <t>Client 034 Holdings</t>
        </is>
      </c>
      <c r="C84" s="3" t="n">
        <v>46323</v>
      </c>
      <c r="D84" t="inlineStr">
        <is>
          <t>2026-10</t>
        </is>
      </c>
      <c r="E84" t="inlineStr">
        <is>
          <t>balanced</t>
        </is>
      </c>
      <c r="F84" t="n">
        <v>66240795.75</v>
      </c>
    </row>
    <row r="85">
      <c r="A85" t="inlineStr">
        <is>
          <t>00034</t>
        </is>
      </c>
      <c r="B85" t="inlineStr">
        <is>
          <t>Client 034 Holdings</t>
        </is>
      </c>
      <c r="C85" s="3" t="n">
        <v>46354</v>
      </c>
      <c r="D85" t="inlineStr">
        <is>
          <t>2026-11</t>
        </is>
      </c>
      <c r="E85" t="inlineStr">
        <is>
          <t>balanced</t>
        </is>
      </c>
      <c r="F85" t="n">
        <v>51091371.57</v>
      </c>
    </row>
    <row r="86">
      <c r="A86" t="inlineStr">
        <is>
          <t>00035</t>
        </is>
      </c>
      <c r="B86" t="inlineStr">
        <is>
          <t>Client 035 Holdings</t>
        </is>
      </c>
      <c r="C86" s="3" t="n">
        <v>46323</v>
      </c>
      <c r="D86" t="inlineStr">
        <is>
          <t>2026-10</t>
        </is>
      </c>
      <c r="E86" t="inlineStr">
        <is>
          <t>equity</t>
        </is>
      </c>
      <c r="F86" t="n">
        <v>82454828.40000001</v>
      </c>
    </row>
    <row r="87">
      <c r="A87" t="inlineStr">
        <is>
          <t>00035</t>
        </is>
      </c>
      <c r="B87" t="inlineStr">
        <is>
          <t>Client 035 Holdings</t>
        </is>
      </c>
      <c r="C87" s="3" t="n">
        <v>46354</v>
      </c>
      <c r="D87" t="inlineStr">
        <is>
          <t>2026-11</t>
        </is>
      </c>
      <c r="E87" t="inlineStr">
        <is>
          <t>equity</t>
        </is>
      </c>
      <c r="F87" t="n">
        <v>64320965.26</v>
      </c>
    </row>
    <row r="88">
      <c r="A88" t="inlineStr">
        <is>
          <t>00036</t>
        </is>
      </c>
      <c r="B88" t="inlineStr">
        <is>
          <t>Client 036 Holdings</t>
        </is>
      </c>
      <c r="C88" s="3" t="n">
        <v>46323</v>
      </c>
      <c r="D88" t="inlineStr">
        <is>
          <t>2026-10</t>
        </is>
      </c>
      <c r="E88" t="inlineStr">
        <is>
          <t>fixed income</t>
        </is>
      </c>
      <c r="F88" t="n">
        <v>52244915.64</v>
      </c>
    </row>
    <row r="89">
      <c r="A89" t="inlineStr">
        <is>
          <t>00036</t>
        </is>
      </c>
      <c r="B89" t="inlineStr">
        <is>
          <t>Client 036 Holdings</t>
        </is>
      </c>
      <c r="C89" s="3" t="n">
        <v>46354</v>
      </c>
      <c r="D89" t="inlineStr">
        <is>
          <t>2026-11</t>
        </is>
      </c>
      <c r="E89" t="inlineStr">
        <is>
          <t>fixed income</t>
        </is>
      </c>
      <c r="F89" t="n">
        <v>37478876.56</v>
      </c>
    </row>
    <row r="90">
      <c r="A90" t="inlineStr">
        <is>
          <t>00037</t>
        </is>
      </c>
      <c r="B90" t="inlineStr">
        <is>
          <t>Client 037 Holdings</t>
        </is>
      </c>
      <c r="C90" s="3" t="n">
        <v>46323</v>
      </c>
      <c r="D90" t="inlineStr">
        <is>
          <t>2026-10</t>
        </is>
      </c>
      <c r="E90" t="inlineStr">
        <is>
          <t>balanced</t>
        </is>
      </c>
      <c r="F90" t="n">
        <v>22300246.12</v>
      </c>
    </row>
    <row r="91">
      <c r="A91" t="inlineStr">
        <is>
          <t>00037</t>
        </is>
      </c>
      <c r="B91" t="inlineStr">
        <is>
          <t>Client 037 Holdings</t>
        </is>
      </c>
      <c r="C91" s="3" t="n">
        <v>46354</v>
      </c>
      <c r="D91" t="inlineStr">
        <is>
          <t>2026-11</t>
        </is>
      </c>
      <c r="E91" t="inlineStr">
        <is>
          <t>balanced</t>
        </is>
      </c>
      <c r="F91" t="n">
        <v>6543754.63</v>
      </c>
    </row>
    <row r="92">
      <c r="A92" t="inlineStr">
        <is>
          <t>00038</t>
        </is>
      </c>
      <c r="B92" t="inlineStr">
        <is>
          <t>Client 038 Holdings</t>
        </is>
      </c>
      <c r="C92" s="3" t="n">
        <v>46323</v>
      </c>
      <c r="D92" t="inlineStr">
        <is>
          <t>2026-10</t>
        </is>
      </c>
      <c r="E92" t="inlineStr">
        <is>
          <t>equity</t>
        </is>
      </c>
      <c r="F92" t="n">
        <v>60656425.28</v>
      </c>
    </row>
    <row r="93">
      <c r="A93" t="inlineStr">
        <is>
          <t>00038</t>
        </is>
      </c>
      <c r="B93" t="inlineStr">
        <is>
          <t>Client 038 Holdings</t>
        </is>
      </c>
      <c r="C93" s="3" t="n">
        <v>46354</v>
      </c>
      <c r="D93" t="inlineStr">
        <is>
          <t>2026-11</t>
        </is>
      </c>
      <c r="E93" t="inlineStr">
        <is>
          <t>equity</t>
        </is>
      </c>
      <c r="F93" t="n">
        <v>48420543.69</v>
      </c>
    </row>
    <row r="94">
      <c r="A94" t="inlineStr">
        <is>
          <t>00039</t>
        </is>
      </c>
      <c r="B94" t="inlineStr">
        <is>
          <t>Client 039 Holdings</t>
        </is>
      </c>
      <c r="C94" s="3" t="n">
        <v>46323</v>
      </c>
      <c r="D94" t="inlineStr">
        <is>
          <t>2026-10</t>
        </is>
      </c>
      <c r="E94" t="inlineStr">
        <is>
          <t>fixed income</t>
        </is>
      </c>
      <c r="F94" t="n">
        <v>8796729.779999999</v>
      </c>
    </row>
    <row r="95">
      <c r="A95" t="inlineStr">
        <is>
          <t>00039</t>
        </is>
      </c>
      <c r="B95" t="inlineStr">
        <is>
          <t>Client 039 Holdings</t>
        </is>
      </c>
      <c r="C95" s="3" t="n">
        <v>46354</v>
      </c>
      <c r="D95" t="inlineStr">
        <is>
          <t>2026-11</t>
        </is>
      </c>
      <c r="E95" t="inlineStr">
        <is>
          <t>fixed income</t>
        </is>
      </c>
      <c r="F95" t="n">
        <v>11196159.18</v>
      </c>
    </row>
    <row r="96">
      <c r="A96" t="inlineStr">
        <is>
          <t>00040</t>
        </is>
      </c>
      <c r="B96" t="inlineStr">
        <is>
          <t>Client 040 Holdings</t>
        </is>
      </c>
      <c r="C96" s="3" t="n">
        <v>46323</v>
      </c>
      <c r="D96" t="inlineStr">
        <is>
          <t>2026-10</t>
        </is>
      </c>
      <c r="E96" t="inlineStr">
        <is>
          <t>balanced</t>
        </is>
      </c>
      <c r="F96" t="n">
        <v>65230340.36</v>
      </c>
    </row>
    <row r="97">
      <c r="A97" t="inlineStr">
        <is>
          <t>00040</t>
        </is>
      </c>
      <c r="B97" t="inlineStr">
        <is>
          <t>Client 040 Holdings</t>
        </is>
      </c>
      <c r="C97" s="3" t="n">
        <v>46354</v>
      </c>
      <c r="D97" t="inlineStr">
        <is>
          <t>2026-11</t>
        </is>
      </c>
      <c r="E97" t="inlineStr">
        <is>
          <t>balanced</t>
        </is>
      </c>
      <c r="F97" t="n">
        <v>53475150.69</v>
      </c>
    </row>
    <row r="98">
      <c r="A98" t="inlineStr">
        <is>
          <t>00041</t>
        </is>
      </c>
      <c r="B98" t="inlineStr">
        <is>
          <t>Client 041 Holdings</t>
        </is>
      </c>
      <c r="C98" s="3" t="n">
        <v>46323</v>
      </c>
      <c r="D98" t="inlineStr">
        <is>
          <t>2026-10</t>
        </is>
      </c>
      <c r="E98" t="inlineStr">
        <is>
          <t>equity</t>
        </is>
      </c>
      <c r="F98" t="n">
        <v>74342745.42</v>
      </c>
    </row>
    <row r="99">
      <c r="A99" t="inlineStr">
        <is>
          <t>00041</t>
        </is>
      </c>
      <c r="B99" t="inlineStr">
        <is>
          <t>Client 041 Holdings</t>
        </is>
      </c>
      <c r="C99" s="3" t="n">
        <v>46354</v>
      </c>
      <c r="D99" t="inlineStr">
        <is>
          <t>2026-11</t>
        </is>
      </c>
      <c r="E99" t="inlineStr">
        <is>
          <t>equity</t>
        </is>
      </c>
      <c r="F99" t="n">
        <v>61697056.98</v>
      </c>
    </row>
    <row r="100">
      <c r="A100" t="inlineStr">
        <is>
          <t>00042</t>
        </is>
      </c>
      <c r="B100" t="inlineStr">
        <is>
          <t>Client 042 Holdings</t>
        </is>
      </c>
      <c r="C100" s="3" t="n">
        <v>46323</v>
      </c>
      <c r="D100" t="inlineStr">
        <is>
          <t>2026-10</t>
        </is>
      </c>
      <c r="E100" t="inlineStr">
        <is>
          <t>fixed income</t>
        </is>
      </c>
      <c r="F100" t="n">
        <v>5456248.08</v>
      </c>
    </row>
    <row r="101">
      <c r="A101" t="inlineStr">
        <is>
          <t>00042</t>
        </is>
      </c>
      <c r="B101" t="inlineStr">
        <is>
          <t>Client 042 Holdings</t>
        </is>
      </c>
      <c r="C101" s="3" t="n">
        <v>46354</v>
      </c>
      <c r="D101" t="inlineStr">
        <is>
          <t>2026-11</t>
        </is>
      </c>
      <c r="E101" t="inlineStr">
        <is>
          <t>fixed income</t>
        </is>
      </c>
      <c r="F101" t="n">
        <v>29211482.56</v>
      </c>
    </row>
    <row r="102">
      <c r="A102" t="inlineStr">
        <is>
          <t>00043</t>
        </is>
      </c>
      <c r="B102" t="inlineStr">
        <is>
          <t>Client 043 Holdings</t>
        </is>
      </c>
      <c r="C102" s="3" t="n">
        <v>46323</v>
      </c>
      <c r="D102" t="inlineStr">
        <is>
          <t>2026-10</t>
        </is>
      </c>
      <c r="E102" t="inlineStr">
        <is>
          <t>balanced</t>
        </is>
      </c>
      <c r="F102" t="n">
        <v>32791843.57</v>
      </c>
    </row>
    <row r="103">
      <c r="A103" t="inlineStr">
        <is>
          <t>00043</t>
        </is>
      </c>
      <c r="B103" t="inlineStr">
        <is>
          <t>Client 043 Holdings</t>
        </is>
      </c>
      <c r="C103" s="3" t="n">
        <v>46354</v>
      </c>
      <c r="D103" t="inlineStr">
        <is>
          <t>2026-11</t>
        </is>
      </c>
      <c r="E103" t="inlineStr">
        <is>
          <t>balanced</t>
        </is>
      </c>
      <c r="F103" t="n">
        <v>48627928.89</v>
      </c>
    </row>
    <row r="104">
      <c r="A104" t="inlineStr">
        <is>
          <t>00044</t>
        </is>
      </c>
      <c r="B104" t="inlineStr">
        <is>
          <t>Client 044 Holdings</t>
        </is>
      </c>
      <c r="C104" s="3" t="n">
        <v>46323</v>
      </c>
      <c r="D104" t="inlineStr">
        <is>
          <t>2026-10</t>
        </is>
      </c>
      <c r="E104" t="inlineStr">
        <is>
          <t>equity</t>
        </is>
      </c>
      <c r="F104" t="n">
        <v>25556896.34</v>
      </c>
    </row>
    <row r="105">
      <c r="A105" t="inlineStr">
        <is>
          <t>00044</t>
        </is>
      </c>
      <c r="B105" t="inlineStr">
        <is>
          <t>Client 044 Holdings</t>
        </is>
      </c>
      <c r="C105" s="3" t="n">
        <v>46354</v>
      </c>
      <c r="D105" t="inlineStr">
        <is>
          <t>2026-11</t>
        </is>
      </c>
      <c r="E105" t="inlineStr">
        <is>
          <t>equity</t>
        </is>
      </c>
      <c r="F105" t="n">
        <v>73735380.09999999</v>
      </c>
    </row>
    <row r="106">
      <c r="A106" t="inlineStr">
        <is>
          <t>00045</t>
        </is>
      </c>
      <c r="B106" t="inlineStr">
        <is>
          <t>Client 045 Holdings</t>
        </is>
      </c>
      <c r="C106" s="3" t="n">
        <v>46323</v>
      </c>
      <c r="D106" t="inlineStr">
        <is>
          <t>2026-10</t>
        </is>
      </c>
      <c r="E106" t="inlineStr">
        <is>
          <t>fixed income</t>
        </is>
      </c>
      <c r="F106" t="n">
        <v>86040648.54000001</v>
      </c>
    </row>
    <row r="107">
      <c r="A107" t="inlineStr">
        <is>
          <t>00045</t>
        </is>
      </c>
      <c r="B107" t="inlineStr">
        <is>
          <t>Client 045 Holdings</t>
        </is>
      </c>
      <c r="C107" s="3" t="n">
        <v>46354</v>
      </c>
      <c r="D107" t="inlineStr">
        <is>
          <t>2026-11</t>
        </is>
      </c>
      <c r="E107" t="inlineStr">
        <is>
          <t>fixed income</t>
        </is>
      </c>
      <c r="F107" t="n">
        <v>30050185.82</v>
      </c>
    </row>
    <row r="108">
      <c r="A108" t="inlineStr">
        <is>
          <t>00046</t>
        </is>
      </c>
      <c r="B108" t="inlineStr">
        <is>
          <t>Client 046 Holdings</t>
        </is>
      </c>
      <c r="C108" s="3" t="n">
        <v>46323</v>
      </c>
      <c r="D108" t="inlineStr">
        <is>
          <t>2026-10</t>
        </is>
      </c>
      <c r="E108" t="inlineStr">
        <is>
          <t>balanced</t>
        </is>
      </c>
      <c r="F108" t="n">
        <v>44580060.84</v>
      </c>
    </row>
    <row r="109">
      <c r="A109" t="inlineStr">
        <is>
          <t>00046</t>
        </is>
      </c>
      <c r="B109" t="inlineStr">
        <is>
          <t>Client 046 Holdings</t>
        </is>
      </c>
      <c r="C109" s="3" t="n">
        <v>46354</v>
      </c>
      <c r="D109" t="inlineStr">
        <is>
          <t>2026-11</t>
        </is>
      </c>
      <c r="E109" t="inlineStr">
        <is>
          <t>balanced</t>
        </is>
      </c>
      <c r="F109" t="n">
        <v>24936704.72</v>
      </c>
    </row>
    <row r="110">
      <c r="A110" t="inlineStr">
        <is>
          <t>00047</t>
        </is>
      </c>
      <c r="B110" t="inlineStr">
        <is>
          <t>Client 047 Holdings</t>
        </is>
      </c>
      <c r="C110" s="3" t="n">
        <v>46323</v>
      </c>
      <c r="D110" t="inlineStr">
        <is>
          <t>2026-10</t>
        </is>
      </c>
      <c r="E110" t="inlineStr">
        <is>
          <t>equity</t>
        </is>
      </c>
      <c r="F110" t="n">
        <v>24927645.72</v>
      </c>
    </row>
    <row r="111">
      <c r="A111" t="inlineStr">
        <is>
          <t>00047</t>
        </is>
      </c>
      <c r="B111" t="inlineStr">
        <is>
          <t>Client 047 Holdings</t>
        </is>
      </c>
      <c r="C111" s="3" t="n">
        <v>46354</v>
      </c>
      <c r="D111" t="inlineStr">
        <is>
          <t>2026-11</t>
        </is>
      </c>
      <c r="E111" t="inlineStr">
        <is>
          <t>equity</t>
        </is>
      </c>
      <c r="F111" t="n">
        <v>87564029.29000001</v>
      </c>
    </row>
    <row r="112">
      <c r="A112" t="inlineStr">
        <is>
          <t>00048</t>
        </is>
      </c>
      <c r="B112" t="inlineStr">
        <is>
          <t>Client 048 Holdings</t>
        </is>
      </c>
      <c r="C112" s="3" t="n">
        <v>46323</v>
      </c>
      <c r="D112" t="inlineStr">
        <is>
          <t>2026-10</t>
        </is>
      </c>
      <c r="E112" t="inlineStr">
        <is>
          <t>fixed income</t>
        </is>
      </c>
      <c r="F112" t="n">
        <v>31625734.03</v>
      </c>
    </row>
    <row r="113">
      <c r="A113" t="inlineStr">
        <is>
          <t>00048</t>
        </is>
      </c>
      <c r="B113" t="inlineStr">
        <is>
          <t>Client 048 Holdings</t>
        </is>
      </c>
      <c r="C113" s="3" t="n">
        <v>46354</v>
      </c>
      <c r="D113" t="inlineStr">
        <is>
          <t>2026-11</t>
        </is>
      </c>
      <c r="E113" t="inlineStr">
        <is>
          <t>fixed income</t>
        </is>
      </c>
      <c r="F113" t="n">
        <v>67668762.37</v>
      </c>
    </row>
    <row r="114">
      <c r="A114" t="inlineStr">
        <is>
          <t>00049</t>
        </is>
      </c>
      <c r="B114" t="inlineStr">
        <is>
          <t>Client 049 Holdings</t>
        </is>
      </c>
      <c r="C114" s="3" t="n">
        <v>46323</v>
      </c>
      <c r="D114" t="inlineStr">
        <is>
          <t>2026-10</t>
        </is>
      </c>
      <c r="E114" t="inlineStr">
        <is>
          <t>balanced</t>
        </is>
      </c>
      <c r="F114" t="n">
        <v>47998882.39</v>
      </c>
    </row>
    <row r="115">
      <c r="A115" t="inlineStr">
        <is>
          <t>00049</t>
        </is>
      </c>
      <c r="B115" t="inlineStr">
        <is>
          <t>Client 049 Holdings</t>
        </is>
      </c>
      <c r="C115" s="3" t="n">
        <v>46354</v>
      </c>
      <c r="D115" t="inlineStr">
        <is>
          <t>2026-11</t>
        </is>
      </c>
      <c r="E115" t="inlineStr">
        <is>
          <t>balanced</t>
        </is>
      </c>
      <c r="F115" t="n">
        <v>76396812.01000001</v>
      </c>
    </row>
    <row r="116">
      <c r="A116" t="inlineStr">
        <is>
          <t>00050</t>
        </is>
      </c>
      <c r="B116" t="inlineStr">
        <is>
          <t>Client 050 Holdings</t>
        </is>
      </c>
      <c r="C116" s="3" t="n">
        <v>46323</v>
      </c>
      <c r="D116" t="inlineStr">
        <is>
          <t>2026-10</t>
        </is>
      </c>
      <c r="E116" t="inlineStr">
        <is>
          <t>equity</t>
        </is>
      </c>
      <c r="F116" t="n">
        <v>82354167.02</v>
      </c>
    </row>
    <row r="117">
      <c r="A117" t="inlineStr">
        <is>
          <t>00050</t>
        </is>
      </c>
      <c r="B117" t="inlineStr">
        <is>
          <t>Client 050 Holdings</t>
        </is>
      </c>
      <c r="C117" s="3" t="n">
        <v>46354</v>
      </c>
      <c r="D117" t="inlineStr">
        <is>
          <t>2026-11</t>
        </is>
      </c>
      <c r="E117" t="inlineStr">
        <is>
          <t>equity</t>
        </is>
      </c>
      <c r="F117" t="n">
        <v>24848706.6</v>
      </c>
    </row>
    <row r="118">
      <c r="A118" t="inlineStr">
        <is>
          <t>00051</t>
        </is>
      </c>
      <c r="B118" t="inlineStr">
        <is>
          <t>Client 051 Holdings</t>
        </is>
      </c>
      <c r="C118" s="3" t="n">
        <v>46323</v>
      </c>
      <c r="D118" t="inlineStr">
        <is>
          <t>2026-10</t>
        </is>
      </c>
      <c r="E118" t="inlineStr">
        <is>
          <t>fixed income</t>
        </is>
      </c>
      <c r="F118" t="n">
        <v>15751321.53</v>
      </c>
    </row>
    <row r="119">
      <c r="A119" t="inlineStr">
        <is>
          <t>00051</t>
        </is>
      </c>
      <c r="B119" t="inlineStr">
        <is>
          <t>Client 051 Holdings</t>
        </is>
      </c>
      <c r="C119" s="3" t="n">
        <v>46354</v>
      </c>
      <c r="D119" t="inlineStr">
        <is>
          <t>2026-11</t>
        </is>
      </c>
      <c r="E119" t="inlineStr">
        <is>
          <t>fixed income</t>
        </is>
      </c>
      <c r="F119" t="n">
        <v>73944774.76000001</v>
      </c>
    </row>
    <row r="120">
      <c r="A120" t="inlineStr">
        <is>
          <t>00052</t>
        </is>
      </c>
      <c r="B120" t="inlineStr">
        <is>
          <t>Client 052 Holdings</t>
        </is>
      </c>
      <c r="C120" s="3" t="n">
        <v>46323</v>
      </c>
      <c r="D120" t="inlineStr">
        <is>
          <t>2026-10</t>
        </is>
      </c>
      <c r="E120" t="inlineStr">
        <is>
          <t>balanced</t>
        </is>
      </c>
      <c r="F120" t="n">
        <v>36824327.5</v>
      </c>
    </row>
    <row r="121">
      <c r="A121" t="inlineStr">
        <is>
          <t>00052</t>
        </is>
      </c>
      <c r="B121" t="inlineStr">
        <is>
          <t>Client 052 Holdings</t>
        </is>
      </c>
      <c r="C121" s="3" t="n">
        <v>46354</v>
      </c>
      <c r="D121" t="inlineStr">
        <is>
          <t>2026-11</t>
        </is>
      </c>
      <c r="E121" t="inlineStr">
        <is>
          <t>balanced</t>
        </is>
      </c>
      <c r="F121" t="n">
        <v>79948858.98</v>
      </c>
    </row>
    <row r="122">
      <c r="A122" t="inlineStr">
        <is>
          <t>00053</t>
        </is>
      </c>
      <c r="B122" t="inlineStr">
        <is>
          <t>Client 053 Holdings</t>
        </is>
      </c>
      <c r="C122" s="3" t="n">
        <v>46323</v>
      </c>
      <c r="D122" t="inlineStr">
        <is>
          <t>2026-10</t>
        </is>
      </c>
      <c r="E122" t="inlineStr">
        <is>
          <t>equity</t>
        </is>
      </c>
      <c r="F122" t="n">
        <v>61282309.09</v>
      </c>
    </row>
    <row r="123">
      <c r="A123" t="inlineStr">
        <is>
          <t>00053</t>
        </is>
      </c>
      <c r="B123" t="inlineStr">
        <is>
          <t>Client 053 Holdings</t>
        </is>
      </c>
      <c r="C123" s="3" t="n">
        <v>46354</v>
      </c>
      <c r="D123" t="inlineStr">
        <is>
          <t>2026-11</t>
        </is>
      </c>
      <c r="E123" t="inlineStr">
        <is>
          <t>equity</t>
        </is>
      </c>
      <c r="F123" t="n">
        <v>425008.38</v>
      </c>
    </row>
    <row r="124">
      <c r="A124" t="inlineStr">
        <is>
          <t>00054</t>
        </is>
      </c>
      <c r="B124" t="inlineStr">
        <is>
          <t>Client 054 Holdings</t>
        </is>
      </c>
      <c r="C124" s="3" t="n">
        <v>46323</v>
      </c>
      <c r="D124" t="inlineStr">
        <is>
          <t>2026-10</t>
        </is>
      </c>
      <c r="E124" t="inlineStr">
        <is>
          <t>fixed income</t>
        </is>
      </c>
      <c r="F124" t="n">
        <v>17844153.42</v>
      </c>
    </row>
    <row r="125">
      <c r="A125" t="inlineStr">
        <is>
          <t>00054</t>
        </is>
      </c>
      <c r="B125" t="inlineStr">
        <is>
          <t>Client 054 Holdings</t>
        </is>
      </c>
      <c r="C125" s="3" t="n">
        <v>46354</v>
      </c>
      <c r="D125" t="inlineStr">
        <is>
          <t>2026-11</t>
        </is>
      </c>
      <c r="E125" t="inlineStr">
        <is>
          <t>fixed income</t>
        </is>
      </c>
      <c r="F125" t="n">
        <v>86630357.01000001</v>
      </c>
    </row>
    <row r="126">
      <c r="A126" t="inlineStr">
        <is>
          <t>00055</t>
        </is>
      </c>
      <c r="B126" t="inlineStr">
        <is>
          <t>Client 055 Holdings</t>
        </is>
      </c>
      <c r="C126" s="3" t="n">
        <v>46323</v>
      </c>
      <c r="D126" t="inlineStr">
        <is>
          <t>2026-10</t>
        </is>
      </c>
      <c r="E126" t="inlineStr">
        <is>
          <t>balanced</t>
        </is>
      </c>
      <c r="F126" t="n">
        <v>84508736.43000001</v>
      </c>
    </row>
    <row r="127">
      <c r="A127" t="inlineStr">
        <is>
          <t>00055</t>
        </is>
      </c>
      <c r="B127" t="inlineStr">
        <is>
          <t>Client 055 Holdings</t>
        </is>
      </c>
      <c r="C127" s="3" t="n">
        <v>46354</v>
      </c>
      <c r="D127" t="inlineStr">
        <is>
          <t>2026-11</t>
        </is>
      </c>
      <c r="E127" t="inlineStr">
        <is>
          <t>balanced</t>
        </is>
      </c>
      <c r="F127" t="n">
        <v>68335644.52</v>
      </c>
    </row>
    <row r="128">
      <c r="A128" t="inlineStr">
        <is>
          <t>00056</t>
        </is>
      </c>
      <c r="B128" t="inlineStr">
        <is>
          <t>Client 056 Holdings</t>
        </is>
      </c>
      <c r="C128" s="3" t="n">
        <v>46323</v>
      </c>
      <c r="D128" t="inlineStr">
        <is>
          <t>2026-10</t>
        </is>
      </c>
      <c r="E128" t="inlineStr">
        <is>
          <t>equity</t>
        </is>
      </c>
      <c r="F128" t="n">
        <v>55405315.05</v>
      </c>
    </row>
    <row r="129">
      <c r="A129" t="inlineStr">
        <is>
          <t>00056</t>
        </is>
      </c>
      <c r="B129" t="inlineStr">
        <is>
          <t>Client 056 Holdings</t>
        </is>
      </c>
      <c r="C129" s="3" t="n">
        <v>46354</v>
      </c>
      <c r="D129" t="inlineStr">
        <is>
          <t>2026-11</t>
        </is>
      </c>
      <c r="E129" t="inlineStr">
        <is>
          <t>equity</t>
        </is>
      </c>
      <c r="F129" t="n">
        <v>71261353.55</v>
      </c>
    </row>
    <row r="130">
      <c r="A130" t="inlineStr">
        <is>
          <t>00057</t>
        </is>
      </c>
      <c r="B130" t="inlineStr">
        <is>
          <t>Client 057 Holdings</t>
        </is>
      </c>
      <c r="C130" s="3" t="n">
        <v>46323</v>
      </c>
      <c r="D130" t="inlineStr">
        <is>
          <t>2026-10</t>
        </is>
      </c>
      <c r="E130" t="inlineStr">
        <is>
          <t>fixed income</t>
        </is>
      </c>
      <c r="F130" t="n">
        <v>20778332.61</v>
      </c>
    </row>
    <row r="131">
      <c r="A131" t="inlineStr">
        <is>
          <t>00057</t>
        </is>
      </c>
      <c r="B131" t="inlineStr">
        <is>
          <t>Client 057 Holdings</t>
        </is>
      </c>
      <c r="C131" s="3" t="n">
        <v>46354</v>
      </c>
      <c r="D131" t="inlineStr">
        <is>
          <t>2026-11</t>
        </is>
      </c>
      <c r="E131" t="inlineStr">
        <is>
          <t>fixed income</t>
        </is>
      </c>
      <c r="F131" t="n">
        <v>89472091</v>
      </c>
    </row>
    <row r="132">
      <c r="A132" t="inlineStr">
        <is>
          <t>00058</t>
        </is>
      </c>
      <c r="B132" t="inlineStr">
        <is>
          <t>Client 058 Holdings</t>
        </is>
      </c>
      <c r="C132" s="3" t="n">
        <v>46323</v>
      </c>
      <c r="D132" t="inlineStr">
        <is>
          <t>2026-10</t>
        </is>
      </c>
      <c r="E132" t="inlineStr">
        <is>
          <t>balanced</t>
        </is>
      </c>
      <c r="F132" t="n">
        <v>61561050.6</v>
      </c>
    </row>
    <row r="133">
      <c r="A133" t="inlineStr">
        <is>
          <t>00058</t>
        </is>
      </c>
      <c r="B133" t="inlineStr">
        <is>
          <t>Client 058 Holdings</t>
        </is>
      </c>
      <c r="C133" s="3" t="n">
        <v>46354</v>
      </c>
      <c r="D133" t="inlineStr">
        <is>
          <t>2026-11</t>
        </is>
      </c>
      <c r="E133" t="inlineStr">
        <is>
          <t>balanced</t>
        </is>
      </c>
      <c r="F133" t="n">
        <v>36557950.67</v>
      </c>
    </row>
    <row r="134">
      <c r="A134" t="inlineStr">
        <is>
          <t>00059</t>
        </is>
      </c>
      <c r="B134" t="inlineStr">
        <is>
          <t>Client 059 Holdings</t>
        </is>
      </c>
      <c r="C134" s="3" t="n">
        <v>46323</v>
      </c>
      <c r="D134" t="inlineStr">
        <is>
          <t>2026-10</t>
        </is>
      </c>
      <c r="E134" t="inlineStr">
        <is>
          <t>equity</t>
        </is>
      </c>
      <c r="F134" t="n">
        <v>17852191.97</v>
      </c>
    </row>
    <row r="135">
      <c r="A135" t="inlineStr">
        <is>
          <t>00059</t>
        </is>
      </c>
      <c r="B135" t="inlineStr">
        <is>
          <t>Client 059 Holdings</t>
        </is>
      </c>
      <c r="C135" s="3" t="n">
        <v>46354</v>
      </c>
      <c r="D135" t="inlineStr">
        <is>
          <t>2026-11</t>
        </is>
      </c>
      <c r="E135" t="inlineStr">
        <is>
          <t>equity</t>
        </is>
      </c>
      <c r="F135" t="n">
        <v>87212386</v>
      </c>
    </row>
    <row r="136">
      <c r="A136" t="inlineStr">
        <is>
          <t>00060</t>
        </is>
      </c>
      <c r="B136" t="inlineStr">
        <is>
          <t>Client 060 Holdings</t>
        </is>
      </c>
      <c r="C136" s="3" t="n">
        <v>46323</v>
      </c>
      <c r="D136" t="inlineStr">
        <is>
          <t>2026-10</t>
        </is>
      </c>
      <c r="E136" t="inlineStr">
        <is>
          <t>fixed income</t>
        </is>
      </c>
      <c r="F136" t="n">
        <v>35239913.31</v>
      </c>
    </row>
    <row r="137">
      <c r="A137" t="inlineStr">
        <is>
          <t>00060</t>
        </is>
      </c>
      <c r="B137" t="inlineStr">
        <is>
          <t>Client 060 Holdings</t>
        </is>
      </c>
      <c r="C137" s="3" t="n">
        <v>46354</v>
      </c>
      <c r="D137" t="inlineStr">
        <is>
          <t>2026-11</t>
        </is>
      </c>
      <c r="E137" t="inlineStr">
        <is>
          <t>fixed income</t>
        </is>
      </c>
      <c r="F137" t="n">
        <v>72878262.66</v>
      </c>
    </row>
    <row r="138">
      <c r="A138" t="inlineStr">
        <is>
          <t>00061</t>
        </is>
      </c>
      <c r="B138" t="inlineStr">
        <is>
          <t>Client 061 Holdings</t>
        </is>
      </c>
      <c r="C138" s="3" t="n">
        <v>46323</v>
      </c>
      <c r="D138" t="inlineStr">
        <is>
          <t>2026-10</t>
        </is>
      </c>
      <c r="E138" t="inlineStr">
        <is>
          <t>balanced</t>
        </is>
      </c>
      <c r="F138" t="n">
        <v>34703573.34</v>
      </c>
    </row>
    <row r="139">
      <c r="A139" t="inlineStr">
        <is>
          <t>00061</t>
        </is>
      </c>
      <c r="B139" t="inlineStr">
        <is>
          <t>Client 061 Holdings</t>
        </is>
      </c>
      <c r="C139" s="3" t="n">
        <v>46354</v>
      </c>
      <c r="D139" t="inlineStr">
        <is>
          <t>2026-11</t>
        </is>
      </c>
      <c r="E139" t="inlineStr">
        <is>
          <t>balanced</t>
        </is>
      </c>
      <c r="F139" t="n">
        <v>55185231.94</v>
      </c>
    </row>
    <row r="140">
      <c r="A140" t="inlineStr">
        <is>
          <t>00062</t>
        </is>
      </c>
      <c r="B140" t="inlineStr">
        <is>
          <t>Client 062 Holdings</t>
        </is>
      </c>
      <c r="C140" s="3" t="n">
        <v>46323</v>
      </c>
      <c r="D140" t="inlineStr">
        <is>
          <t>2026-10</t>
        </is>
      </c>
      <c r="E140" t="inlineStr">
        <is>
          <t>equity</t>
        </is>
      </c>
      <c r="F140" t="n">
        <v>53688313.83</v>
      </c>
    </row>
    <row r="141">
      <c r="A141" t="inlineStr">
        <is>
          <t>00062</t>
        </is>
      </c>
      <c r="B141" t="inlineStr">
        <is>
          <t>Client 062 Holdings</t>
        </is>
      </c>
      <c r="C141" s="3" t="n">
        <v>46354</v>
      </c>
      <c r="D141" t="inlineStr">
        <is>
          <t>2026-11</t>
        </is>
      </c>
      <c r="E141" t="inlineStr">
        <is>
          <t>equity</t>
        </is>
      </c>
      <c r="F141" t="n">
        <v>49305237.11</v>
      </c>
    </row>
    <row r="142">
      <c r="A142" t="inlineStr">
        <is>
          <t>00063</t>
        </is>
      </c>
      <c r="B142" t="inlineStr">
        <is>
          <t>Client 063 Holdings</t>
        </is>
      </c>
      <c r="C142" s="3" t="n">
        <v>46323</v>
      </c>
      <c r="D142" t="inlineStr">
        <is>
          <t>2026-10</t>
        </is>
      </c>
      <c r="E142" t="inlineStr">
        <is>
          <t>fixed income</t>
        </is>
      </c>
      <c r="F142" t="n">
        <v>58722854.97</v>
      </c>
    </row>
    <row r="143">
      <c r="A143" t="inlineStr">
        <is>
          <t>00063</t>
        </is>
      </c>
      <c r="B143" t="inlineStr">
        <is>
          <t>Client 063 Holdings</t>
        </is>
      </c>
      <c r="C143" s="3" t="n">
        <v>46354</v>
      </c>
      <c r="D143" t="inlineStr">
        <is>
          <t>2026-11</t>
        </is>
      </c>
      <c r="E143" t="inlineStr">
        <is>
          <t>fixed income</t>
        </is>
      </c>
      <c r="F143" t="n">
        <v>15116994.2</v>
      </c>
    </row>
    <row r="144">
      <c r="A144" t="inlineStr">
        <is>
          <t>00064</t>
        </is>
      </c>
      <c r="B144" t="inlineStr">
        <is>
          <t>Client 064 Holdings</t>
        </is>
      </c>
      <c r="C144" s="3" t="n">
        <v>46323</v>
      </c>
      <c r="D144" t="inlineStr">
        <is>
          <t>2026-10</t>
        </is>
      </c>
      <c r="E144" t="inlineStr">
        <is>
          <t>balanced</t>
        </is>
      </c>
      <c r="F144" t="n">
        <v>50422404.44</v>
      </c>
    </row>
    <row r="145">
      <c r="A145" t="inlineStr">
        <is>
          <t>00064</t>
        </is>
      </c>
      <c r="B145" t="inlineStr">
        <is>
          <t>Client 064 Holdings</t>
        </is>
      </c>
      <c r="C145" s="3" t="n">
        <v>46354</v>
      </c>
      <c r="D145" t="inlineStr">
        <is>
          <t>2026-11</t>
        </is>
      </c>
      <c r="E145" t="inlineStr">
        <is>
          <t>balanced</t>
        </is>
      </c>
      <c r="F145" t="n">
        <v>6111046.71</v>
      </c>
    </row>
    <row r="146">
      <c r="A146" t="inlineStr">
        <is>
          <t>00065</t>
        </is>
      </c>
      <c r="B146" t="inlineStr">
        <is>
          <t>Client 065 Holdings</t>
        </is>
      </c>
      <c r="C146" s="3" t="n">
        <v>46323</v>
      </c>
      <c r="D146" t="inlineStr">
        <is>
          <t>2026-10</t>
        </is>
      </c>
      <c r="E146" t="inlineStr">
        <is>
          <t>equity</t>
        </is>
      </c>
      <c r="F146" t="n">
        <v>64523279.59</v>
      </c>
    </row>
    <row r="147">
      <c r="A147" t="inlineStr">
        <is>
          <t>00065</t>
        </is>
      </c>
      <c r="B147" t="inlineStr">
        <is>
          <t>Client 065 Holdings</t>
        </is>
      </c>
      <c r="C147" s="3" t="n">
        <v>46354</v>
      </c>
      <c r="D147" t="inlineStr">
        <is>
          <t>2026-11</t>
        </is>
      </c>
      <c r="E147" t="inlineStr">
        <is>
          <t>equity</t>
        </is>
      </c>
      <c r="F147" t="n">
        <v>85817119.69</v>
      </c>
    </row>
    <row r="148">
      <c r="A148" t="inlineStr">
        <is>
          <t>00066</t>
        </is>
      </c>
      <c r="B148" t="inlineStr">
        <is>
          <t>Client 066 Holdings</t>
        </is>
      </c>
      <c r="C148" s="3" t="n">
        <v>46323</v>
      </c>
      <c r="D148" t="inlineStr">
        <is>
          <t>2026-10</t>
        </is>
      </c>
      <c r="E148" t="inlineStr">
        <is>
          <t>fixed income</t>
        </is>
      </c>
      <c r="F148" t="n">
        <v>88553778.06</v>
      </c>
    </row>
    <row r="149">
      <c r="A149" t="inlineStr">
        <is>
          <t>00066</t>
        </is>
      </c>
      <c r="B149" t="inlineStr">
        <is>
          <t>Client 066 Holdings</t>
        </is>
      </c>
      <c r="C149" s="3" t="n">
        <v>46354</v>
      </c>
      <c r="D149" t="inlineStr">
        <is>
          <t>2026-11</t>
        </is>
      </c>
      <c r="E149" t="inlineStr">
        <is>
          <t>fixed income</t>
        </is>
      </c>
      <c r="F149" t="n">
        <v>79189123.73</v>
      </c>
    </row>
    <row r="150">
      <c r="A150" t="inlineStr">
        <is>
          <t>00067</t>
        </is>
      </c>
      <c r="B150" t="inlineStr">
        <is>
          <t>Client 067 Holdings</t>
        </is>
      </c>
      <c r="C150" s="3" t="n">
        <v>46323</v>
      </c>
      <c r="D150" t="inlineStr">
        <is>
          <t>2026-10</t>
        </is>
      </c>
      <c r="E150" t="inlineStr">
        <is>
          <t>balanced</t>
        </is>
      </c>
      <c r="F150" t="n">
        <v>44944074.07</v>
      </c>
    </row>
    <row r="151">
      <c r="A151" t="inlineStr">
        <is>
          <t>00067</t>
        </is>
      </c>
      <c r="B151" t="inlineStr">
        <is>
          <t>Client 067 Holdings</t>
        </is>
      </c>
      <c r="C151" s="3" t="n">
        <v>46354</v>
      </c>
      <c r="D151" t="inlineStr">
        <is>
          <t>2026-11</t>
        </is>
      </c>
      <c r="E151" t="inlineStr">
        <is>
          <t>balanced</t>
        </is>
      </c>
      <c r="F151" t="n">
        <v>26527933.22</v>
      </c>
    </row>
    <row r="152">
      <c r="A152" t="inlineStr">
        <is>
          <t>00068</t>
        </is>
      </c>
      <c r="B152" t="inlineStr">
        <is>
          <t>Client 068 Holdings</t>
        </is>
      </c>
      <c r="C152" s="3" t="n">
        <v>46323</v>
      </c>
      <c r="D152" t="inlineStr">
        <is>
          <t>2026-10</t>
        </is>
      </c>
      <c r="E152" t="inlineStr">
        <is>
          <t>equity</t>
        </is>
      </c>
      <c r="F152" t="n">
        <v>14397456.96</v>
      </c>
    </row>
    <row r="153">
      <c r="A153" t="inlineStr">
        <is>
          <t>00068</t>
        </is>
      </c>
      <c r="B153" t="inlineStr">
        <is>
          <t>Client 068 Holdings</t>
        </is>
      </c>
      <c r="C153" s="3" t="n">
        <v>46354</v>
      </c>
      <c r="D153" t="inlineStr">
        <is>
          <t>2026-11</t>
        </is>
      </c>
      <c r="E153" t="inlineStr">
        <is>
          <t>equity</t>
        </is>
      </c>
      <c r="F153" t="n">
        <v>43921478.72</v>
      </c>
    </row>
    <row r="154">
      <c r="A154" t="inlineStr">
        <is>
          <t>00069</t>
        </is>
      </c>
      <c r="B154" t="inlineStr">
        <is>
          <t>Client 069 Holdings</t>
        </is>
      </c>
      <c r="C154" s="3" t="n">
        <v>46323</v>
      </c>
      <c r="D154" t="inlineStr">
        <is>
          <t>2026-10</t>
        </is>
      </c>
      <c r="E154" t="inlineStr">
        <is>
          <t>fixed income</t>
        </is>
      </c>
      <c r="F154" t="n">
        <v>46008027.4</v>
      </c>
    </row>
    <row r="155">
      <c r="A155" t="inlineStr">
        <is>
          <t>00069</t>
        </is>
      </c>
      <c r="B155" t="inlineStr">
        <is>
          <t>Client 069 Holdings</t>
        </is>
      </c>
      <c r="C155" s="3" t="n">
        <v>46354</v>
      </c>
      <c r="D155" t="inlineStr">
        <is>
          <t>2026-11</t>
        </is>
      </c>
      <c r="E155" t="inlineStr">
        <is>
          <t>fixed income</t>
        </is>
      </c>
      <c r="F155" t="n">
        <v>72943388.64</v>
      </c>
    </row>
    <row r="156">
      <c r="A156" t="inlineStr">
        <is>
          <t>00070</t>
        </is>
      </c>
      <c r="B156" t="inlineStr">
        <is>
          <t>Client 070 Holdings</t>
        </is>
      </c>
      <c r="C156" s="3" t="n">
        <v>46323</v>
      </c>
      <c r="D156" t="inlineStr">
        <is>
          <t>2026-10</t>
        </is>
      </c>
      <c r="E156" t="inlineStr">
        <is>
          <t>balanced</t>
        </is>
      </c>
      <c r="F156" t="n">
        <v>56928382.58</v>
      </c>
    </row>
    <row r="157">
      <c r="A157" t="inlineStr">
        <is>
          <t>00070</t>
        </is>
      </c>
      <c r="B157" t="inlineStr">
        <is>
          <t>Client 070 Holdings</t>
        </is>
      </c>
      <c r="C157" s="3" t="n">
        <v>46354</v>
      </c>
      <c r="D157" t="inlineStr">
        <is>
          <t>2026-11</t>
        </is>
      </c>
      <c r="E157" t="inlineStr">
        <is>
          <t>balanced</t>
        </is>
      </c>
      <c r="F157" t="n">
        <v>68275491.3</v>
      </c>
    </row>
    <row r="158">
      <c r="A158" t="inlineStr">
        <is>
          <t>00071</t>
        </is>
      </c>
      <c r="B158" t="inlineStr">
        <is>
          <t>Client 071 Holdings</t>
        </is>
      </c>
      <c r="C158" s="3" t="n">
        <v>46323</v>
      </c>
      <c r="D158" t="inlineStr">
        <is>
          <t>2026-10</t>
        </is>
      </c>
      <c r="E158" t="inlineStr">
        <is>
          <t>equity</t>
        </is>
      </c>
      <c r="F158" t="n">
        <v>76263434.73999999</v>
      </c>
    </row>
    <row r="159">
      <c r="A159" t="inlineStr">
        <is>
          <t>00071</t>
        </is>
      </c>
      <c r="B159" t="inlineStr">
        <is>
          <t>Client 071 Holdings</t>
        </is>
      </c>
      <c r="C159" s="3" t="n">
        <v>46354</v>
      </c>
      <c r="D159" t="inlineStr">
        <is>
          <t>2026-11</t>
        </is>
      </c>
      <c r="E159" t="inlineStr">
        <is>
          <t>equity</t>
        </is>
      </c>
      <c r="F159" t="n">
        <v>50717974.76</v>
      </c>
    </row>
    <row r="160">
      <c r="A160" t="inlineStr">
        <is>
          <t>00072</t>
        </is>
      </c>
      <c r="B160" t="inlineStr">
        <is>
          <t>Client 072 Holdings</t>
        </is>
      </c>
      <c r="C160" s="3" t="n">
        <v>46323</v>
      </c>
      <c r="D160" t="inlineStr">
        <is>
          <t>2026-10</t>
        </is>
      </c>
      <c r="E160" t="inlineStr">
        <is>
          <t>fixed income</t>
        </is>
      </c>
      <c r="F160" t="n">
        <v>96500</v>
      </c>
    </row>
    <row r="161">
      <c r="A161" t="inlineStr">
        <is>
          <t>00072</t>
        </is>
      </c>
      <c r="B161" t="inlineStr">
        <is>
          <t>Client 072 Holdings</t>
        </is>
      </c>
      <c r="C161" s="3" t="n">
        <v>46354</v>
      </c>
      <c r="D161" t="inlineStr">
        <is>
          <t>2026-11</t>
        </is>
      </c>
      <c r="E161" t="inlineStr">
        <is>
          <t>fixed income</t>
        </is>
      </c>
      <c r="F161" t="n">
        <v>100360</v>
      </c>
    </row>
    <row r="162">
      <c r="A162" t="inlineStr">
        <is>
          <t>00073</t>
        </is>
      </c>
      <c r="B162" t="inlineStr">
        <is>
          <t>Client 073 Holdings</t>
        </is>
      </c>
      <c r="C162" s="3" t="n">
        <v>46323</v>
      </c>
      <c r="D162" t="inlineStr">
        <is>
          <t>2026-10</t>
        </is>
      </c>
      <c r="E162" t="inlineStr">
        <is>
          <t>balanced</t>
        </is>
      </c>
      <c r="F162" t="n">
        <v>22678206.44</v>
      </c>
    </row>
    <row r="163">
      <c r="A163" t="inlineStr">
        <is>
          <t>00073</t>
        </is>
      </c>
      <c r="B163" t="inlineStr">
        <is>
          <t>Client 073 Holdings</t>
        </is>
      </c>
      <c r="C163" s="3" t="n">
        <v>46354</v>
      </c>
      <c r="D163" t="inlineStr">
        <is>
          <t>2026-11</t>
        </is>
      </c>
      <c r="E163" t="inlineStr">
        <is>
          <t>balanced</t>
        </is>
      </c>
      <c r="F163" t="n">
        <v>39955817.54</v>
      </c>
    </row>
    <row r="164">
      <c r="A164" t="inlineStr">
        <is>
          <t>00074</t>
        </is>
      </c>
      <c r="B164" t="inlineStr">
        <is>
          <t>Client 074 Holdings</t>
        </is>
      </c>
      <c r="C164" s="3" t="n">
        <v>46323</v>
      </c>
      <c r="D164" t="inlineStr">
        <is>
          <t>2026-10</t>
        </is>
      </c>
      <c r="E164" t="inlineStr">
        <is>
          <t>equity</t>
        </is>
      </c>
      <c r="F164" t="n">
        <v>26981286.66</v>
      </c>
    </row>
    <row r="165">
      <c r="A165" t="inlineStr">
        <is>
          <t>00074</t>
        </is>
      </c>
      <c r="B165" t="inlineStr">
        <is>
          <t>Client 074 Holdings</t>
        </is>
      </c>
      <c r="C165" s="3" t="n">
        <v>46354</v>
      </c>
      <c r="D165" t="inlineStr">
        <is>
          <t>2026-11</t>
        </is>
      </c>
      <c r="E165" t="inlineStr">
        <is>
          <t>equity</t>
        </is>
      </c>
      <c r="F165" t="n">
        <v>74645030.89</v>
      </c>
    </row>
    <row r="166">
      <c r="A166" t="inlineStr">
        <is>
          <t>00075</t>
        </is>
      </c>
      <c r="B166" t="inlineStr">
        <is>
          <t>Client 075 Holdings</t>
        </is>
      </c>
      <c r="C166" s="3" t="n">
        <v>46323</v>
      </c>
      <c r="D166" t="inlineStr">
        <is>
          <t>2026-10</t>
        </is>
      </c>
      <c r="E166" t="inlineStr">
        <is>
          <t>fixed income</t>
        </is>
      </c>
      <c r="F166" t="n">
        <v>48703739.23</v>
      </c>
    </row>
    <row r="167">
      <c r="A167" t="inlineStr">
        <is>
          <t>00075</t>
        </is>
      </c>
      <c r="B167" t="inlineStr">
        <is>
          <t>Client 075 Holdings</t>
        </is>
      </c>
      <c r="C167" s="3" t="n">
        <v>46354</v>
      </c>
      <c r="D167" t="inlineStr">
        <is>
          <t>2026-11</t>
        </is>
      </c>
      <c r="E167" t="inlineStr">
        <is>
          <t>fixed income</t>
        </is>
      </c>
      <c r="F167" t="n">
        <v>87208851.95</v>
      </c>
    </row>
    <row r="168">
      <c r="A168" t="inlineStr">
        <is>
          <t>00076</t>
        </is>
      </c>
      <c r="B168" t="inlineStr">
        <is>
          <t>Client 076 Holdings</t>
        </is>
      </c>
      <c r="C168" s="3" t="n">
        <v>46323</v>
      </c>
      <c r="D168" t="inlineStr">
        <is>
          <t>2026-10</t>
        </is>
      </c>
      <c r="E168" t="inlineStr">
        <is>
          <t>balanced</t>
        </is>
      </c>
      <c r="F168" t="n">
        <v>87982127.43000001</v>
      </c>
    </row>
    <row r="169">
      <c r="A169" t="inlineStr">
        <is>
          <t>00076</t>
        </is>
      </c>
      <c r="B169" t="inlineStr">
        <is>
          <t>Client 076 Holdings</t>
        </is>
      </c>
      <c r="C169" s="3" t="n">
        <v>46354</v>
      </c>
      <c r="D169" t="inlineStr">
        <is>
          <t>2026-11</t>
        </is>
      </c>
      <c r="E169" t="inlineStr">
        <is>
          <t>balanced</t>
        </is>
      </c>
      <c r="F169" t="n">
        <v>85332051.78</v>
      </c>
    </row>
    <row r="170">
      <c r="A170" t="inlineStr">
        <is>
          <t>00077</t>
        </is>
      </c>
      <c r="B170" t="inlineStr">
        <is>
          <t>Client 077 Holdings</t>
        </is>
      </c>
      <c r="C170" s="3" t="n">
        <v>46323</v>
      </c>
      <c r="D170" t="inlineStr">
        <is>
          <t>2026-10</t>
        </is>
      </c>
      <c r="E170" t="inlineStr">
        <is>
          <t>equity</t>
        </is>
      </c>
      <c r="F170" t="n">
        <v>1759551.24</v>
      </c>
    </row>
    <row r="171">
      <c r="A171" t="inlineStr">
        <is>
          <t>00077</t>
        </is>
      </c>
      <c r="B171" t="inlineStr">
        <is>
          <t>Client 077 Holdings</t>
        </is>
      </c>
      <c r="C171" s="3" t="n">
        <v>46354</v>
      </c>
      <c r="D171" t="inlineStr">
        <is>
          <t>2026-11</t>
        </is>
      </c>
      <c r="E171" t="inlineStr">
        <is>
          <t>equity</t>
        </is>
      </c>
      <c r="F171" t="n">
        <v>5681350.12</v>
      </c>
    </row>
    <row r="172">
      <c r="A172" t="inlineStr">
        <is>
          <t>00078</t>
        </is>
      </c>
      <c r="B172" t="inlineStr">
        <is>
          <t>Client 078 Holdings</t>
        </is>
      </c>
      <c r="C172" s="3" t="n">
        <v>46323</v>
      </c>
      <c r="D172" t="inlineStr">
        <is>
          <t>2026-10</t>
        </is>
      </c>
      <c r="E172" t="inlineStr">
        <is>
          <t>fixed income</t>
        </is>
      </c>
      <c r="F172" t="n">
        <v>41714663.98</v>
      </c>
    </row>
    <row r="173">
      <c r="A173" t="inlineStr">
        <is>
          <t>00078</t>
        </is>
      </c>
      <c r="B173" t="inlineStr">
        <is>
          <t>Client 078 Holdings</t>
        </is>
      </c>
      <c r="C173" s="3" t="n">
        <v>46354</v>
      </c>
      <c r="D173" t="inlineStr">
        <is>
          <t>2026-11</t>
        </is>
      </c>
      <c r="E173" t="inlineStr">
        <is>
          <t>fixed income</t>
        </is>
      </c>
      <c r="F173" t="n">
        <v>69588529.33</v>
      </c>
    </row>
    <row r="174">
      <c r="A174" t="inlineStr">
        <is>
          <t>00079</t>
        </is>
      </c>
      <c r="B174" t="inlineStr">
        <is>
          <t>Client 079 Holdings</t>
        </is>
      </c>
      <c r="C174" s="3" t="n">
        <v>46323</v>
      </c>
      <c r="D174" t="inlineStr">
        <is>
          <t>2026-10</t>
        </is>
      </c>
      <c r="E174" t="inlineStr">
        <is>
          <t>balanced</t>
        </is>
      </c>
      <c r="F174" t="n">
        <v>80125063.13</v>
      </c>
    </row>
    <row r="175">
      <c r="A175" t="inlineStr">
        <is>
          <t>00079</t>
        </is>
      </c>
      <c r="B175" t="inlineStr">
        <is>
          <t>Client 079 Holdings</t>
        </is>
      </c>
      <c r="C175" s="3" t="n">
        <v>46354</v>
      </c>
      <c r="D175" t="inlineStr">
        <is>
          <t>2026-11</t>
        </is>
      </c>
      <c r="E175" t="inlineStr">
        <is>
          <t>balanced</t>
        </is>
      </c>
      <c r="F175" t="n">
        <v>74070095.73999999</v>
      </c>
    </row>
    <row r="176">
      <c r="A176" t="inlineStr">
        <is>
          <t>00080</t>
        </is>
      </c>
      <c r="B176" t="inlineStr">
        <is>
          <t>Client 080 Holdings</t>
        </is>
      </c>
      <c r="C176" s="3" t="n">
        <v>46323</v>
      </c>
      <c r="D176" t="inlineStr">
        <is>
          <t>2026-10</t>
        </is>
      </c>
      <c r="E176" t="inlineStr">
        <is>
          <t>equity</t>
        </is>
      </c>
      <c r="F176" t="n">
        <v>54514335.13</v>
      </c>
    </row>
    <row r="177">
      <c r="A177" t="inlineStr">
        <is>
          <t>00080</t>
        </is>
      </c>
      <c r="B177" t="inlineStr">
        <is>
          <t>Client 080 Holdings</t>
        </is>
      </c>
      <c r="C177" s="3" t="n">
        <v>46354</v>
      </c>
      <c r="D177" t="inlineStr">
        <is>
          <t>2026-11</t>
        </is>
      </c>
      <c r="E177" t="inlineStr">
        <is>
          <t>equity</t>
        </is>
      </c>
      <c r="F177" t="n">
        <v>76084148.59</v>
      </c>
    </row>
    <row r="178">
      <c r="A178" t="inlineStr">
        <is>
          <t>00081</t>
        </is>
      </c>
      <c r="B178" t="inlineStr">
        <is>
          <t>Client 081 Holdings</t>
        </is>
      </c>
      <c r="C178" s="3" t="n">
        <v>46323</v>
      </c>
      <c r="D178" t="inlineStr">
        <is>
          <t>2026-10</t>
        </is>
      </c>
      <c r="E178" t="inlineStr">
        <is>
          <t>fixed income</t>
        </is>
      </c>
      <c r="F178" t="n">
        <v>13124662.84</v>
      </c>
    </row>
    <row r="179">
      <c r="A179" t="inlineStr">
        <is>
          <t>00081</t>
        </is>
      </c>
      <c r="B179" t="inlineStr">
        <is>
          <t>Client 081 Holdings</t>
        </is>
      </c>
      <c r="C179" s="3" t="n">
        <v>46354</v>
      </c>
      <c r="D179" t="inlineStr">
        <is>
          <t>2026-11</t>
        </is>
      </c>
      <c r="E179" t="inlineStr">
        <is>
          <t>fixed income</t>
        </is>
      </c>
      <c r="F179" t="n">
        <v>32361355.23</v>
      </c>
    </row>
    <row r="180">
      <c r="A180" t="inlineStr">
        <is>
          <t>00082</t>
        </is>
      </c>
      <c r="B180" t="inlineStr">
        <is>
          <t>Client 082 Holdings</t>
        </is>
      </c>
      <c r="C180" s="3" t="n">
        <v>46323</v>
      </c>
      <c r="D180" t="inlineStr">
        <is>
          <t>2026-10</t>
        </is>
      </c>
      <c r="E180" t="inlineStr">
        <is>
          <t>balanced</t>
        </is>
      </c>
      <c r="F180" t="n">
        <v>50819477.34</v>
      </c>
    </row>
    <row r="181">
      <c r="A181" t="inlineStr">
        <is>
          <t>00082</t>
        </is>
      </c>
      <c r="B181" t="inlineStr">
        <is>
          <t>Client 082 Holdings</t>
        </is>
      </c>
      <c r="C181" s="3" t="n">
        <v>46354</v>
      </c>
      <c r="D181" t="inlineStr">
        <is>
          <t>2026-11</t>
        </is>
      </c>
      <c r="E181" t="inlineStr">
        <is>
          <t>balanced</t>
        </is>
      </c>
      <c r="F181" t="n">
        <v>6817317.06</v>
      </c>
    </row>
    <row r="182">
      <c r="A182" t="inlineStr">
        <is>
          <t>00083</t>
        </is>
      </c>
      <c r="B182" t="inlineStr">
        <is>
          <t>Client 083 Holdings</t>
        </is>
      </c>
      <c r="C182" s="3" t="n">
        <v>46323</v>
      </c>
      <c r="D182" t="inlineStr">
        <is>
          <t>2026-10</t>
        </is>
      </c>
      <c r="E182" t="inlineStr">
        <is>
          <t>equity</t>
        </is>
      </c>
      <c r="F182" t="n">
        <v>89241813.03</v>
      </c>
    </row>
    <row r="183">
      <c r="A183" t="inlineStr">
        <is>
          <t>00083</t>
        </is>
      </c>
      <c r="B183" t="inlineStr">
        <is>
          <t>Client 083 Holdings</t>
        </is>
      </c>
      <c r="C183" s="3" t="n">
        <v>46354</v>
      </c>
      <c r="D183" t="inlineStr">
        <is>
          <t>2026-11</t>
        </is>
      </c>
      <c r="E183" t="inlineStr">
        <is>
          <t>equity</t>
        </is>
      </c>
      <c r="F183" t="n">
        <v>21842666.47</v>
      </c>
    </row>
    <row r="184">
      <c r="A184" t="inlineStr">
        <is>
          <t>00084</t>
        </is>
      </c>
      <c r="B184" t="inlineStr">
        <is>
          <t>Client 084 Holdings</t>
        </is>
      </c>
      <c r="C184" s="3" t="n">
        <v>46323</v>
      </c>
      <c r="D184" t="inlineStr">
        <is>
          <t>2026-10</t>
        </is>
      </c>
      <c r="E184" t="inlineStr">
        <is>
          <t>fixed income</t>
        </is>
      </c>
      <c r="F184" t="n">
        <v>40108307.23</v>
      </c>
    </row>
    <row r="185">
      <c r="A185" t="inlineStr">
        <is>
          <t>00084</t>
        </is>
      </c>
      <c r="B185" t="inlineStr">
        <is>
          <t>Client 084 Holdings</t>
        </is>
      </c>
      <c r="C185" s="3" t="n">
        <v>46354</v>
      </c>
      <c r="D185" t="inlineStr">
        <is>
          <t>2026-11</t>
        </is>
      </c>
      <c r="E185" t="inlineStr">
        <is>
          <t>fixed income</t>
        </is>
      </c>
      <c r="F185" t="n">
        <v>10047100.19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sheetData>
    <row r="1">
      <c r="A1" s="1" t="inlineStr">
        <is>
          <t>Fee schedule -- from Client Onboarding, effective 2026-11-01</t>
        </is>
      </c>
    </row>
    <row r="2">
      <c r="A2" t="inlineStr">
        <is>
          <t>Do not edit. Superseded schedules are kept on the shared drive.</t>
        </is>
      </c>
    </row>
    <row r="3">
      <c r="H3" t="inlineStr">
        <is>
          <t>Minimum fee</t>
        </is>
      </c>
      <c r="I3" t="n">
        <v>750</v>
      </c>
    </row>
    <row r="4">
      <c r="A4" s="1" t="inlineStr">
        <is>
          <t>client_code</t>
        </is>
      </c>
      <c r="B4" s="1" t="inlineStr">
        <is>
          <t>negotiated_bps</t>
        </is>
      </c>
      <c r="D4" s="1" t="inlineStr">
        <is>
          <t>band_floor</t>
        </is>
      </c>
      <c r="E4" s="1" t="inlineStr">
        <is>
          <t>band_ceiling</t>
        </is>
      </c>
      <c r="F4" s="1" t="inlineStr">
        <is>
          <t>band_bps</t>
        </is>
      </c>
      <c r="H4" t="inlineStr">
        <is>
          <t>Maximum fee</t>
        </is>
      </c>
      <c r="I4" t="n">
        <v>250000</v>
      </c>
    </row>
    <row r="5">
      <c r="A5" t="inlineStr">
        <is>
          <t>00001</t>
        </is>
      </c>
      <c r="B5" t="inlineStr">
        <is>
          <t>20.0</t>
        </is>
      </c>
      <c r="D5" t="n">
        <v>0</v>
      </c>
      <c r="E5" t="n">
        <v>5000000</v>
      </c>
      <c r="F5" t="n">
        <v>35</v>
      </c>
      <c r="H5" t="inlineStr">
        <is>
          <t>Standard discount</t>
        </is>
      </c>
      <c r="I5" t="n">
        <v>0.025</v>
      </c>
    </row>
    <row r="6">
      <c r="A6" t="inlineStr">
        <is>
          <t>00006</t>
        </is>
      </c>
      <c r="B6" t="inlineStr">
        <is>
          <t>27.5</t>
        </is>
      </c>
      <c r="D6" t="n">
        <v>5000000</v>
      </c>
      <c r="E6" t="n">
        <v>20000000</v>
      </c>
      <c r="F6" t="n">
        <v>27.5</v>
      </c>
    </row>
    <row r="7">
      <c r="A7" t="inlineStr">
        <is>
          <t>00011</t>
        </is>
      </c>
      <c r="B7" t="inlineStr">
        <is>
          <t>21.5</t>
        </is>
      </c>
      <c r="D7" t="n">
        <v>20000000</v>
      </c>
      <c r="E7" t="n">
        <v>50000000</v>
      </c>
      <c r="F7" t="n">
        <v>22</v>
      </c>
    </row>
    <row r="8">
      <c r="A8" t="inlineStr">
        <is>
          <t>00016</t>
        </is>
      </c>
      <c r="B8" t="inlineStr">
        <is>
          <t>29.0</t>
        </is>
      </c>
      <c r="D8" t="n">
        <v>50000000</v>
      </c>
      <c r="E8" t="n">
        <v>100000000</v>
      </c>
      <c r="F8" t="n">
        <v>18.5</v>
      </c>
    </row>
    <row r="9">
      <c r="A9" t="inlineStr">
        <is>
          <t>00021</t>
        </is>
      </c>
      <c r="B9" t="inlineStr">
        <is>
          <t>23.0</t>
        </is>
      </c>
    </row>
    <row r="10">
      <c r="A10" t="inlineStr">
        <is>
          <t>00026</t>
        </is>
      </c>
      <c r="B10" t="inlineStr">
        <is>
          <t>30.5</t>
        </is>
      </c>
    </row>
    <row r="11">
      <c r="A11" t="inlineStr">
        <is>
          <t>00031</t>
        </is>
      </c>
      <c r="B11" t="inlineStr">
        <is>
          <t>24.5</t>
        </is>
      </c>
    </row>
    <row r="12">
      <c r="A12" t="inlineStr">
        <is>
          <t>00036</t>
        </is>
      </c>
      <c r="B12" t="inlineStr">
        <is>
          <t>32.0</t>
        </is>
      </c>
    </row>
    <row r="13">
      <c r="A13" t="inlineStr">
        <is>
          <t>00041</t>
        </is>
      </c>
      <c r="B13" t="inlineStr">
        <is>
          <t>26.0</t>
        </is>
      </c>
    </row>
    <row r="14">
      <c r="A14" t="inlineStr">
        <is>
          <t>00046</t>
        </is>
      </c>
      <c r="B14" t="inlineStr">
        <is>
          <t>20.0</t>
        </is>
      </c>
    </row>
    <row r="15">
      <c r="A15" t="inlineStr">
        <is>
          <t>00051</t>
        </is>
      </c>
      <c r="B15" t="inlineStr">
        <is>
          <t>27.5</t>
        </is>
      </c>
    </row>
    <row r="16">
      <c r="A16" t="inlineStr">
        <is>
          <t>00056</t>
        </is>
      </c>
      <c r="B16" t="inlineStr">
        <is>
          <t>21.5</t>
        </is>
      </c>
    </row>
    <row r="17">
      <c r="A17" t="inlineStr">
        <is>
          <t>00061</t>
        </is>
      </c>
      <c r="B17" t="inlineStr">
        <is>
          <t>29.0</t>
        </is>
      </c>
    </row>
    <row r="18">
      <c r="A18" t="inlineStr">
        <is>
          <t>00066</t>
        </is>
      </c>
      <c r="B18" t="inlineStr">
        <is>
          <t>23.0</t>
        </is>
      </c>
    </row>
    <row r="19">
      <c r="A19" t="inlineStr">
        <is>
          <t>00071</t>
        </is>
      </c>
      <c r="B19" t="inlineStr">
        <is>
          <t>30.5</t>
        </is>
      </c>
    </row>
    <row r="20">
      <c r="A20" t="inlineStr">
        <is>
          <t>00076</t>
        </is>
      </c>
      <c r="B20" t="inlineStr">
        <is>
          <t>24.5</t>
        </is>
      </c>
    </row>
    <row r="21">
      <c r="A21" t="inlineStr">
        <is>
          <t>00081</t>
        </is>
      </c>
      <c r="B21" t="inlineStr">
        <is>
          <t>32.0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8" defaultRowHeight="15"/>
  <sheetData>
    <row r="1">
      <c r="A1" s="4" t="inlineStr">
        <is>
          <t>Management fee working -- November 2026</t>
        </is>
      </c>
    </row>
    <row r="3">
      <c r="A3" t="inlineStr">
        <is>
          <t>Period</t>
        </is>
      </c>
      <c r="B3" t="inlineStr">
        <is>
          <t>2026-11</t>
        </is>
      </c>
    </row>
    <row r="4">
      <c r="A4" t="inlineStr">
        <is>
          <t>Prepared by</t>
        </is>
      </c>
      <c r="B4" t="inlineStr">
        <is>
          <t>Billing Operations</t>
        </is>
      </c>
    </row>
    <row r="14">
      <c r="A14" t="inlineStr">
        <is>
          <t>2024 flat rate (bps)</t>
        </is>
      </c>
      <c r="B14" t="n">
        <v>26</v>
      </c>
    </row>
    <row r="15">
      <c r="A15" t="inlineStr">
        <is>
          <t>2024 adjustment factor</t>
        </is>
      </c>
      <c r="B15" t="n">
        <v>0.97</v>
      </c>
    </row>
    <row r="18">
      <c r="A18" s="1" t="inlineStr">
        <is>
          <t>Client</t>
        </is>
      </c>
      <c r="B18" s="1" t="inlineStr">
        <is>
          <t>Client name</t>
        </is>
      </c>
      <c r="C18" s="1" t="inlineStr">
        <is>
          <t>Onboarded</t>
        </is>
      </c>
      <c r="D18" s="1" t="inlineStr">
        <is>
          <t>Period start</t>
        </is>
      </c>
      <c r="E18" s="1" t="inlineStr">
        <is>
          <t>Period</t>
        </is>
      </c>
      <c r="F18" s="1" t="inlineStr">
        <is>
          <t>Avg AUM (GBP)</t>
        </is>
      </c>
      <c r="G18" s="1" t="inlineStr">
        <is>
          <t>Prior close</t>
        </is>
      </c>
      <c r="H18" s="1" t="inlineStr">
        <is>
          <t>Opening balance</t>
        </is>
      </c>
      <c r="I18" s="1" t="inlineStr">
        <is>
          <t>Band bps</t>
        </is>
      </c>
      <c r="J18" s="1" t="inlineStr">
        <is>
          <t>Tier bps</t>
        </is>
      </c>
      <c r="K18" s="1" t="inlineStr">
        <is>
          <t>Legal entity</t>
        </is>
      </c>
      <c r="L18" s="1" t="inlineStr">
        <is>
          <t>Cost centre</t>
        </is>
      </c>
      <c r="M18" s="1" t="inlineStr">
        <is>
          <t>Gross fee (GBP)</t>
        </is>
      </c>
      <c r="N18" s="1" t="inlineStr">
        <is>
          <t>Days in month</t>
        </is>
      </c>
      <c r="O18" s="1" t="inlineStr">
        <is>
          <t>Days billed</t>
        </is>
      </c>
      <c r="P18" s="1" t="inlineStr">
        <is>
          <t>Pro-rated fee</t>
        </is>
      </c>
      <c r="Q18" s="1" t="inlineStr">
        <is>
          <t>Floor applied</t>
        </is>
      </c>
      <c r="R18" s="1" t="inlineStr">
        <is>
          <t>Cap applied</t>
        </is>
      </c>
      <c r="S18" s="1" t="inlineStr">
        <is>
          <t>Discount</t>
        </is>
      </c>
      <c r="T18" s="1" t="inlineStr">
        <is>
          <t>Net fee (GBP)</t>
        </is>
      </c>
      <c r="U18" s="1" t="inlineStr">
        <is>
          <t>Agreed fee</t>
        </is>
      </c>
      <c r="V18" s="1" t="inlineStr">
        <is>
          <t>Override applied</t>
        </is>
      </c>
      <c r="W18" s="1" t="inlineStr">
        <is>
          <t>Invoice key</t>
        </is>
      </c>
      <c r="X18" s="1" t="inlineStr">
        <is>
          <t>Positions seen</t>
        </is>
      </c>
      <c r="Y18" s="1" t="inlineStr">
        <is>
          <t>Running total</t>
        </is>
      </c>
      <c r="Z18" s="1" t="inlineStr">
        <is>
          <t>Mandate</t>
        </is>
      </c>
      <c r="AA18" s="1" t="inlineStr">
        <is>
          <t>Mandate AUM</t>
        </is>
      </c>
      <c r="AB18" s="1" t="inlineStr">
        <is>
          <t>Share of mandate</t>
        </is>
      </c>
      <c r="AC18" s="1" t="inlineStr">
        <is>
          <t>Weighted check</t>
        </is>
      </c>
      <c r="AD18" s="1" t="inlineStr">
        <is>
          <t>Fee band</t>
        </is>
      </c>
      <c r="AE18" s="1" t="inlineStr">
        <is>
          <t>Accounts on file</t>
        </is>
      </c>
      <c r="AF18" s="1" t="inlineStr">
        <is>
          <t>Latest as-of</t>
        </is>
      </c>
      <c r="AG18" s="1" t="inlineStr">
        <is>
          <t>Billing year</t>
        </is>
      </c>
      <c r="AH18" s="1" t="inlineStr">
        <is>
          <t>Old method fee</t>
        </is>
      </c>
      <c r="AI18" s="1" t="inlineStr">
        <is>
          <t>Old method delta</t>
        </is>
      </c>
      <c r="AJ18" s="1" t="inlineStr">
        <is>
          <t>2024 adj</t>
        </is>
      </c>
      <c r="AK18" s="1" t="inlineStr">
        <is>
          <t>2024 note</t>
        </is>
      </c>
    </row>
    <row r="19">
      <c r="A19" t="inlineStr">
        <is>
          <t>00001</t>
        </is>
      </c>
      <c r="B19" t="str">
        <f>INDEX('Entity Map'!$B:$B,MATCH(A19,'Entity Map'!$A:$A,0))</f>
        <v>Client 001 Holdings</v>
      </c>
      <c r="C19">
        <f>INDEX('Entity Map'!$F:$F,MATCH(A19,'Entity Map'!$A:$A,0))</f>
        <v>45352</v>
      </c>
      <c r="D19">
        <f>MAX(DATE(2026,11,1),C19)</f>
        <v>46327</v>
      </c>
      <c r="E19" t="str">
        <f>TEXT(D19,"yyyy-mm")</f>
        <v>2026-11</v>
      </c>
      <c r="F19">
        <f>AVERAGEIFS(Positions!$F:$F,Positions!$A:$A,A19)</f>
        <v>11538989.925</v>
      </c>
      <c r="G19">
        <f>F19</f>
        <v>11538989.925</v>
      </c>
      <c r="H19">
        <f>IF(A19=A19,G19,F19)</f>
        <v>11538989.925</v>
      </c>
      <c r="I19">
        <f>VLOOKUP(F19,'Fee Schedule'!$D$5:$F$8,3,TRUE)</f>
        <v>27.5</v>
      </c>
      <c r="J19">
        <f>IFERROR(VLOOKUP(A19,'Fee Schedule'!$A$5:$B$21,2,FALSE),I19)</f>
        <v>20</v>
      </c>
      <c r="K19" t="str">
        <f>INDEX('Entity Map'!$C:$C,MATCH(A19,'Entity Map'!$A:$A,0))</f>
        <v>LuxCo</v>
      </c>
      <c r="L19" t="str">
        <f>INDEX('Entity Map'!$D:$D,MATCH(A19,'Entity Map'!$A:$A,0))</f>
        <v>CC-100</v>
      </c>
      <c r="M19">
        <f>ROUND(F19*J19/10000,2)</f>
        <v>23077.98</v>
      </c>
      <c r="N19">
        <f>DAY(EOMONTH(D19,0))</f>
        <v>30</v>
      </c>
      <c r="O19">
        <f>DATEDIF(D19,EOMONTH(D19,0),"d")+1</f>
        <v>30</v>
      </c>
      <c r="P19">
        <f>ROUND(M19*O19/N19,2)</f>
        <v>23077.98</v>
      </c>
      <c r="Q19">
        <f>MAX(P19,'Fee Schedule'!$I$3)</f>
        <v>23077.98</v>
      </c>
      <c r="R19">
        <f>MIN(Q19,'Fee Schedule'!$I$4)</f>
        <v>23077.98</v>
      </c>
      <c r="S19">
        <f>IFERROR(R19*'Fee Schedule'!$I$5,0)</f>
        <v>576.9495000000001</v>
      </c>
      <c r="T19">
        <f>ROUND(R19-S19,2)</f>
        <v>22501.03</v>
      </c>
      <c r="U19">
        <f>IFERROR(VLOOKUP(A19,Overrides!$A:$C,3,FALSE),T19)</f>
        <v>22501.03</v>
      </c>
      <c r="V19" t="str">
        <f>IF(U19=T19,"","OVERRIDE")</f>
        <v/>
      </c>
      <c r="W19" t="str">
        <f>LEFT(A19,3)&amp;"-"&amp;E19</f>
        <v>000-2026-11</v>
      </c>
      <c r="X19">
        <f>COUNTIFS(Positions!$A:$A,A19)</f>
        <v>2</v>
      </c>
      <c r="Y19">
        <f>SUM($U$19:U19)</f>
        <v>22501.03</v>
      </c>
      <c r="Z19" t="str">
        <f>UPPER(TRIM(INDEX('Entity Map'!$E:$E,MATCH(A19,'Entity Map'!$A:$A,0))))</f>
        <v>BALANCED</v>
      </c>
      <c r="AA19">
        <f>SUMIFS(Positions!$F:$F,Positions!$E:$E,Z19)</f>
        <v>2420753390.7000003</v>
      </c>
      <c r="AB19">
        <f>IFERROR(F19/AA19,0)</f>
        <v>0.004766693695165419</v>
      </c>
      <c r="AC19">
        <f>SUMPRODUCT(Positions!$F$18:$F$185,--(Positions!$A$18:$A$185=A19))</f>
        <v>23077979.85</v>
      </c>
      <c r="AD19" t="str">
        <f>IF(U19&gt;40000,"A",IF(U19&gt;8000,"B","C"))</f>
        <v>B</v>
      </c>
      <c r="AE19">
        <f>COUNTIF('Entity Map'!$A:$A,A19)</f>
        <v>1</v>
      </c>
      <c r="AF19">
        <f>MAX(Positions!$C:$C)</f>
        <v>46354</v>
      </c>
      <c r="AG19">
        <f>YEAR(D19)</f>
        <v>2026</v>
      </c>
      <c r="AH19">
        <f>ROUND(F19*$B$14/10000,2)</f>
        <v>30001.37</v>
      </c>
      <c r="AI19">
        <f>AH19-T19</f>
        <v>7500.34</v>
      </c>
      <c r="AJ19">
        <f>AI19*$B$15</f>
        <v>7275.3297999999995</v>
      </c>
      <c r="AK19" t="str">
        <f>CONCATENATE(A19," / ",TEXT(AJ19,"0.00"))</f>
        <v>00001 / 7275.33</v>
      </c>
    </row>
    <row r="20">
      <c r="A20" t="inlineStr">
        <is>
          <t>00002</t>
        </is>
      </c>
      <c r="B20" t="str">
        <f>INDEX('Entity Map'!$B:$B,MATCH(A20,'Entity Map'!$A:$A,0))</f>
        <v>Client 002 Holdings</v>
      </c>
      <c r="C20">
        <f>INDEX('Entity Map'!$F:$F,MATCH(A20,'Entity Map'!$A:$A,0))</f>
        <v>45353</v>
      </c>
      <c r="D20">
        <f>MAX(DATE(2026,11,1),C20)</f>
        <v>46327</v>
      </c>
      <c r="E20" t="str">
        <f>TEXT(D20,"yyyy-mm")</f>
        <v>2026-11</v>
      </c>
      <c r="F20">
        <f>AVERAGEIFS(Positions!$F:$F,Positions!$A:$A,A20)</f>
        <v>53349310.535</v>
      </c>
      <c r="G20">
        <f>F19</f>
        <v>11538989.925</v>
      </c>
      <c r="H20">
        <f>IF(A20=A19,G20,F20)</f>
        <v>53349310.535</v>
      </c>
      <c r="I20">
        <f>VLOOKUP(F20,'Fee Schedule'!$D$5:$F$8,3,TRUE)</f>
        <v>18.5</v>
      </c>
      <c r="J20">
        <f>IFERROR(VLOOKUP(A20,'Fee Schedule'!$A$5:$B$21,2,FALSE),I20)</f>
        <v>18.5</v>
      </c>
      <c r="K20" t="str">
        <f>INDEX('Entity Map'!$C:$C,MATCH(A20,'Entity Map'!$A:$A,0))</f>
        <v>UKCo</v>
      </c>
      <c r="L20" t="str">
        <f>INDEX('Entity Map'!$D:$D,MATCH(A20,'Entity Map'!$A:$A,0))</f>
        <v>CC-110</v>
      </c>
      <c r="M20">
        <f>ROUND(F20*J20/10000,2)</f>
        <v>98696.22</v>
      </c>
      <c r="N20">
        <f>DAY(EOMONTH(D20,0))</f>
        <v>30</v>
      </c>
      <c r="O20">
        <f>DATEDIF(D20,EOMONTH(D20,0),"d")+1</f>
        <v>30</v>
      </c>
      <c r="P20">
        <f>ROUND(M20*O20/N20,2)</f>
        <v>98696.22</v>
      </c>
      <c r="Q20">
        <f>MAX(P20,'Fee Schedule'!$I$3)</f>
        <v>98696.22</v>
      </c>
      <c r="R20">
        <f>MIN(Q20,'Fee Schedule'!$I$4)</f>
        <v>98696.22</v>
      </c>
      <c r="S20">
        <f>IFERROR(R20*'Fee Schedule'!$I$5,0)</f>
        <v>2467.4055000000003</v>
      </c>
      <c r="T20">
        <f>ROUND(R20-S20,2)</f>
        <v>96228.81</v>
      </c>
      <c r="U20">
        <f>IFERROR(VLOOKUP(A20,Overrides!$A:$C,3,FALSE),T20)</f>
        <v>96228.81</v>
      </c>
      <c r="V20" t="str">
        <f>IF(U20=T20,"","OVERRIDE")</f>
        <v/>
      </c>
      <c r="W20" t="str">
        <f>LEFT(A20,3)&amp;"-"&amp;E20</f>
        <v>000-2026-11</v>
      </c>
      <c r="X20">
        <f>COUNTIFS(Positions!$A:$A,A20)</f>
        <v>2</v>
      </c>
      <c r="Y20">
        <f>SUM($U$19:U20)</f>
        <v>118729.84</v>
      </c>
      <c r="Z20" t="str">
        <f>UPPER(TRIM(INDEX('Entity Map'!$E:$E,MATCH(A20,'Entity Map'!$A:$A,0))))</f>
        <v>EQUITY</v>
      </c>
      <c r="AA20">
        <f>SUMIFS(Positions!$F:$F,Positions!$E:$E,Z20)</f>
        <v>2806311623.609999</v>
      </c>
      <c r="AB20">
        <f>IFERROR(F20/AA20,0)</f>
        <v>0.019010472709503377</v>
      </c>
      <c r="AC20">
        <f>SUMPRODUCT(Positions!$F$18:$F$185,--(Positions!$A$18:$A$185=A20))</f>
        <v>106698621.07</v>
      </c>
      <c r="AD20" t="str">
        <f>IF(U20&gt;40000,"A",IF(U20&gt;8000,"B","C"))</f>
        <v>A</v>
      </c>
      <c r="AE20">
        <f>COUNTIF('Entity Map'!$A:$A,A20)</f>
        <v>1</v>
      </c>
      <c r="AF20">
        <f>MAX(Positions!$C:$C)</f>
        <v>46354</v>
      </c>
      <c r="AG20">
        <f>YEAR(D20)</f>
        <v>2026</v>
      </c>
      <c r="AH20">
        <f>ROUND(F20*$B$14/10000,2)</f>
        <v>138708.21</v>
      </c>
      <c r="AI20">
        <f>AH20-T20</f>
        <v>42479.399999999994</v>
      </c>
      <c r="AJ20">
        <f>AI20*$B$15</f>
        <v>41205.018</v>
      </c>
      <c r="AK20" t="str">
        <f>CONCATENATE(A20," / ",TEXT(AJ20,"0.00"))</f>
        <v>00002 / 41205.02</v>
      </c>
    </row>
    <row r="21">
      <c r="A21" t="inlineStr">
        <is>
          <t>00003</t>
        </is>
      </c>
      <c r="B21" t="str">
        <f>INDEX('Entity Map'!$B:$B,MATCH(A21,'Entity Map'!$A:$A,0))</f>
        <v>Client 003 Holdings</v>
      </c>
      <c r="C21">
        <f>INDEX('Entity Map'!$F:$F,MATCH(A21,'Entity Map'!$A:$A,0))</f>
        <v>45354</v>
      </c>
      <c r="D21">
        <f>MAX(DATE(2026,11,1),C21)</f>
        <v>46327</v>
      </c>
      <c r="E21" t="str">
        <f>TEXT(D21,"yyyy-mm")</f>
        <v>2026-11</v>
      </c>
      <c r="F21">
        <f>AVERAGEIFS(Positions!$F:$F,Positions!$A:$A,A21)</f>
        <v>39322827.63</v>
      </c>
      <c r="G21">
        <f>F20</f>
        <v>53349310.535</v>
      </c>
      <c r="H21">
        <f>IF(A21=A20,G21,F21)</f>
        <v>39322827.63</v>
      </c>
      <c r="I21">
        <f>VLOOKUP(F21,'Fee Schedule'!$D$5:$F$8,3,TRUE)</f>
        <v>22</v>
      </c>
      <c r="J21">
        <f>IFERROR(VLOOKUP(A21,'Fee Schedule'!$A$5:$B$21,2,FALSE),I21)</f>
        <v>22</v>
      </c>
      <c r="K21" t="str">
        <f>INDEX('Entity Map'!$C:$C,MATCH(A21,'Entity Map'!$A:$A,0))</f>
        <v>DubCo</v>
      </c>
      <c r="L21" t="str">
        <f>INDEX('Entity Map'!$D:$D,MATCH(A21,'Entity Map'!$A:$A,0))</f>
        <v>CC-120</v>
      </c>
      <c r="M21">
        <f>ROUND(F21*J21/10000,2)</f>
        <v>86510.22</v>
      </c>
      <c r="N21">
        <f>DAY(EOMONTH(D21,0))</f>
        <v>30</v>
      </c>
      <c r="O21">
        <f>DATEDIF(D21,EOMONTH(D21,0),"d")+1</f>
        <v>30</v>
      </c>
      <c r="P21">
        <f>ROUND(M21*O21/N21,2)</f>
        <v>86510.22</v>
      </c>
      <c r="Q21">
        <f>MAX(P21,'Fee Schedule'!$I$3)</f>
        <v>86510.22</v>
      </c>
      <c r="R21">
        <f>MIN(Q21,'Fee Schedule'!$I$4)</f>
        <v>86510.22</v>
      </c>
      <c r="S21">
        <f>IFERROR(R21*'Fee Schedule'!$I$5,0)</f>
        <v>2162.7555</v>
      </c>
      <c r="T21">
        <f>ROUND(R21-S21,2)</f>
        <v>84347.46</v>
      </c>
      <c r="U21">
        <f>IFERROR(VLOOKUP(A21,Overrides!$A:$C,3,FALSE),T21)</f>
        <v>84347.46</v>
      </c>
      <c r="V21" t="str">
        <f>IF(U21=T21,"","OVERRIDE")</f>
        <v/>
      </c>
      <c r="W21" t="str">
        <f>LEFT(A21,3)&amp;"-"&amp;E21</f>
        <v>000-2026-11</v>
      </c>
      <c r="X21">
        <f>COUNTIFS(Positions!$A:$A,A21)</f>
        <v>2</v>
      </c>
      <c r="Y21">
        <f>SUM($U$19:U21)</f>
        <v>203077.3</v>
      </c>
      <c r="Z21" t="str">
        <f>UPPER(TRIM(INDEX('Entity Map'!$E:$E,MATCH(A21,'Entity Map'!$A:$A,0))))</f>
        <v>FIXED INCOME</v>
      </c>
      <c r="AA21">
        <f>SUMIFS(Positions!$F:$F,Positions!$E:$E,Z21)</f>
        <v>2496645976.4</v>
      </c>
      <c r="AB21">
        <f>IFERROR(F21/AA21,0)</f>
        <v>0.01575026175184875</v>
      </c>
      <c r="AC21">
        <f>SUMPRODUCT(Positions!$F$18:$F$185,--(Positions!$A$18:$A$185=A21))</f>
        <v>78645655.26</v>
      </c>
      <c r="AD21" t="str">
        <f>IF(U21&gt;40000,"A",IF(U21&gt;8000,"B","C"))</f>
        <v>A</v>
      </c>
      <c r="AE21">
        <f>COUNTIF('Entity Map'!$A:$A,A21)</f>
        <v>1</v>
      </c>
      <c r="AF21">
        <f>MAX(Positions!$C:$C)</f>
        <v>46354</v>
      </c>
      <c r="AG21">
        <f>YEAR(D21)</f>
        <v>2026</v>
      </c>
      <c r="AH21">
        <f>ROUND(F21*$B$14/10000,2)</f>
        <v>102239.35</v>
      </c>
      <c r="AI21">
        <f>AH21-T21</f>
        <v>17891.89</v>
      </c>
      <c r="AJ21">
        <f>AI21*$B$15</f>
        <v>17355.133299999998</v>
      </c>
      <c r="AK21" t="str">
        <f>CONCATENATE(A21," / ",TEXT(AJ21,"0.00"))</f>
        <v>00003 / 17355.13</v>
      </c>
    </row>
    <row r="22">
      <c r="A22" t="inlineStr">
        <is>
          <t>00004</t>
        </is>
      </c>
      <c r="B22" t="str">
        <f>INDEX('Entity Map'!$B:$B,MATCH(A22,'Entity Map'!$A:$A,0))</f>
        <v>Client 004 Holdings</v>
      </c>
      <c r="C22">
        <f>INDEX('Entity Map'!$F:$F,MATCH(A22,'Entity Map'!$A:$A,0))</f>
        <v>45355</v>
      </c>
      <c r="D22">
        <f>MAX(DATE(2026,11,1),C22)</f>
        <v>46327</v>
      </c>
      <c r="E22" t="str">
        <f>TEXT(D22,"yyyy-mm")</f>
        <v>2026-11</v>
      </c>
      <c r="F22">
        <f>AVERAGEIFS(Positions!$F:$F,Positions!$A:$A,A22)</f>
        <v>122400</v>
      </c>
      <c r="G22">
        <f>F21</f>
        <v>39322827.63</v>
      </c>
      <c r="H22">
        <f>IF(A22=A21,G22,F22)</f>
        <v>122400</v>
      </c>
      <c r="I22">
        <f>VLOOKUP(F22,'Fee Schedule'!$D$5:$F$8,3,TRUE)</f>
        <v>35</v>
      </c>
      <c r="J22">
        <f>IFERROR(VLOOKUP(A22,'Fee Schedule'!$A$5:$B$21,2,FALSE),I22)</f>
        <v>35</v>
      </c>
      <c r="K22" t="str">
        <f>INDEX('Entity Map'!$C:$C,MATCH(A22,'Entity Map'!$A:$A,0))</f>
        <v>LuxCo</v>
      </c>
      <c r="L22" t="str">
        <f>INDEX('Entity Map'!$D:$D,MATCH(A22,'Entity Map'!$A:$A,0))</f>
        <v>CC-130</v>
      </c>
      <c r="M22">
        <f>ROUND(F22*J22/10000,2)</f>
        <v>428.4</v>
      </c>
      <c r="N22">
        <f>DAY(EOMONTH(D22,0))</f>
        <v>30</v>
      </c>
      <c r="O22">
        <f>DATEDIF(D22,EOMONTH(D22,0),"d")+1</f>
        <v>30</v>
      </c>
      <c r="P22">
        <f>ROUND(M22*O22/N22,2)</f>
        <v>428.4</v>
      </c>
      <c r="Q22">
        <f>MAX(P22,'Fee Schedule'!$I$3)</f>
        <v>750</v>
      </c>
      <c r="R22">
        <f>MIN(Q22,'Fee Schedule'!$I$4)</f>
        <v>750</v>
      </c>
      <c r="S22">
        <f>IFERROR(R22*'Fee Schedule'!$I$5,0)</f>
        <v>18.75</v>
      </c>
      <c r="T22">
        <f>ROUND(R22-S22,2)</f>
        <v>731.25</v>
      </c>
      <c r="U22">
        <f>IFERROR(VLOOKUP(A22,Overrides!$A:$C,3,FALSE),T22)</f>
        <v>731.25</v>
      </c>
      <c r="V22" t="str">
        <f>IF(U22=T22,"","OVERRIDE")</f>
        <v/>
      </c>
      <c r="W22" t="str">
        <f>LEFT(A22,3)&amp;"-"&amp;E22</f>
        <v>000-2026-11</v>
      </c>
      <c r="X22">
        <f>COUNTIFS(Positions!$A:$A,A22)</f>
        <v>2</v>
      </c>
      <c r="Y22">
        <f>SUM($U$19:U22)</f>
        <v>203808.55</v>
      </c>
      <c r="Z22" t="str">
        <f>UPPER(TRIM(INDEX('Entity Map'!$E:$E,MATCH(A22,'Entity Map'!$A:$A,0))))</f>
        <v>BALANCED</v>
      </c>
      <c r="AA22">
        <f>SUMIFS(Positions!$F:$F,Positions!$E:$E,Z22)</f>
        <v>2420753390.7000003</v>
      </c>
      <c r="AB22">
        <f>IFERROR(F22/AA22,0)</f>
        <v>5.0562771272048514e-05</v>
      </c>
      <c r="AC22">
        <f>SUMPRODUCT(Positions!$F$18:$F$185,--(Positions!$A$18:$A$185=A22))</f>
        <v>244800</v>
      </c>
      <c r="AD22" t="str">
        <f>IF(U22&gt;40000,"A",IF(U22&gt;8000,"B","C"))</f>
        <v>C</v>
      </c>
      <c r="AE22">
        <f>COUNTIF('Entity Map'!$A:$A,A22)</f>
        <v>1</v>
      </c>
      <c r="AF22">
        <f>MAX(Positions!$C:$C)</f>
        <v>46354</v>
      </c>
      <c r="AG22">
        <f>YEAR(D22)</f>
        <v>2026</v>
      </c>
      <c r="AH22">
        <f>ROUND(F22*$B$14/10000,2)</f>
        <v>318.24</v>
      </c>
      <c r="AI22">
        <f>AH22-T22</f>
        <v>-413.01</v>
      </c>
      <c r="AJ22">
        <f>AI22*$B$15</f>
        <v>-400.61969999999997</v>
      </c>
      <c r="AK22" t="str">
        <f>CONCATENATE(A22," / ",TEXT(AJ22,"0.00"))</f>
        <v>00004 / -400.62</v>
      </c>
    </row>
    <row r="23">
      <c r="A23" t="inlineStr">
        <is>
          <t>00005</t>
        </is>
      </c>
      <c r="B23" t="str">
        <f>INDEX('Entity Map'!$B:$B,MATCH(A23,'Entity Map'!$A:$A,0))</f>
        <v>Client 005 Holdings</v>
      </c>
      <c r="C23">
        <f>INDEX('Entity Map'!$F:$F,MATCH(A23,'Entity Map'!$A:$A,0))</f>
        <v>45356</v>
      </c>
      <c r="D23">
        <f>MAX(DATE(2026,11,1),C23)</f>
        <v>46327</v>
      </c>
      <c r="E23" t="str">
        <f>TEXT(D23,"yyyy-mm")</f>
        <v>2026-11</v>
      </c>
      <c r="F23">
        <f>AVERAGEIFS(Positions!$F:$F,Positions!$A:$A,A23)</f>
        <v>44837740.375</v>
      </c>
      <c r="G23">
        <f>F22</f>
        <v>122400</v>
      </c>
      <c r="H23">
        <f>IF(A23=A22,G23,F23)</f>
        <v>44837740.375</v>
      </c>
      <c r="I23">
        <f>VLOOKUP(F23,'Fee Schedule'!$D$5:$F$8,3,TRUE)</f>
        <v>22</v>
      </c>
      <c r="J23">
        <f>IFERROR(VLOOKUP(A23,'Fee Schedule'!$A$5:$B$21,2,FALSE),I23)</f>
        <v>22</v>
      </c>
      <c r="K23" t="str">
        <f>INDEX('Entity Map'!$C:$C,MATCH(A23,'Entity Map'!$A:$A,0))</f>
        <v>UKCo</v>
      </c>
      <c r="L23" t="str">
        <f>INDEX('Entity Map'!$D:$D,MATCH(A23,'Entity Map'!$A:$A,0))</f>
        <v>CC-140</v>
      </c>
      <c r="M23">
        <f>ROUND(F23*J23/10000,2)</f>
        <v>98643.03</v>
      </c>
      <c r="N23">
        <f>DAY(EOMONTH(D23,0))</f>
        <v>30</v>
      </c>
      <c r="O23">
        <f>DATEDIF(D23,EOMONTH(D23,0),"d")+1</f>
        <v>30</v>
      </c>
      <c r="P23">
        <f>ROUND(M23*O23/N23,2)</f>
        <v>98643.03</v>
      </c>
      <c r="Q23">
        <f>MAX(P23,'Fee Schedule'!$I$3)</f>
        <v>98643.03</v>
      </c>
      <c r="R23">
        <f>MIN(Q23,'Fee Schedule'!$I$4)</f>
        <v>98643.03</v>
      </c>
      <c r="S23">
        <f>IFERROR(R23*'Fee Schedule'!$I$5,0)</f>
        <v>2466.07575</v>
      </c>
      <c r="T23">
        <f>ROUND(R23-S23,2)</f>
        <v>96176.95</v>
      </c>
      <c r="U23">
        <f>IFERROR(VLOOKUP(A23,Overrides!$A:$C,3,FALSE),T23)</f>
        <v>96176.95</v>
      </c>
      <c r="V23" t="str">
        <f>IF(U23=T23,"","OVERRIDE")</f>
        <v/>
      </c>
      <c r="W23" t="str">
        <f>LEFT(A23,3)&amp;"-"&amp;E23</f>
        <v>000-2026-11</v>
      </c>
      <c r="X23">
        <f>COUNTIFS(Positions!$A:$A,A23)</f>
        <v>2</v>
      </c>
      <c r="Y23">
        <f>SUM($U$19:U23)</f>
        <v>299985.5</v>
      </c>
      <c r="Z23" t="str">
        <f>UPPER(TRIM(INDEX('Entity Map'!$E:$E,MATCH(A23,'Entity Map'!$A:$A,0))))</f>
        <v>EQUITY</v>
      </c>
      <c r="AA23">
        <f>SUMIFS(Positions!$F:$F,Positions!$E:$E,Z23)</f>
        <v>2806311623.609999</v>
      </c>
      <c r="AB23">
        <f>IFERROR(F23/AA23,0)</f>
        <v>0.015977463086341556</v>
      </c>
      <c r="AC23">
        <f>SUMPRODUCT(Positions!$F$18:$F$185,--(Positions!$A$18:$A$185=A23))</f>
        <v>89675480.75</v>
      </c>
      <c r="AD23" t="str">
        <f>IF(U23&gt;40000,"A",IF(U23&gt;8000,"B","C"))</f>
        <v>A</v>
      </c>
      <c r="AE23">
        <f>COUNTIF('Entity Map'!$A:$A,A23)</f>
        <v>1</v>
      </c>
      <c r="AF23">
        <f>MAX(Positions!$C:$C)</f>
        <v>46354</v>
      </c>
      <c r="AG23">
        <f>YEAR(D23)</f>
        <v>2026</v>
      </c>
      <c r="AH23">
        <f>ROUND(F23*$B$14/10000,2)</f>
        <v>116578.12</v>
      </c>
      <c r="AI23">
        <f>AH23-T23</f>
        <v>20401.17</v>
      </c>
      <c r="AJ23">
        <f>AI23*$B$15</f>
        <v>19789.134899999997</v>
      </c>
      <c r="AK23" t="str">
        <f>CONCATENATE(A23," / ",TEXT(AJ23,"0.00"))</f>
        <v>00005 / 19789.13</v>
      </c>
    </row>
    <row r="24">
      <c r="A24" t="inlineStr">
        <is>
          <t>00006</t>
        </is>
      </c>
      <c r="B24" t="str">
        <f>INDEX('Entity Map'!$B:$B,MATCH(A24,'Entity Map'!$A:$A,0))</f>
        <v>Client 006 Holdings</v>
      </c>
      <c r="C24">
        <f>INDEX('Entity Map'!$F:$F,MATCH(A24,'Entity Map'!$A:$A,0))</f>
        <v>45357</v>
      </c>
      <c r="D24">
        <f>MAX(DATE(2026,11,1),C24)</f>
        <v>46327</v>
      </c>
      <c r="E24" t="str">
        <f>TEXT(D24,"yyyy-mm")</f>
        <v>2026-11</v>
      </c>
      <c r="F24">
        <f>AVERAGEIFS(Positions!$F:$F,Positions!$A:$A,A24)</f>
        <v>36927318.33</v>
      </c>
      <c r="G24">
        <f>F23</f>
        <v>44837740.375</v>
      </c>
      <c r="H24">
        <f>IF(A24=A23,G24,F24)</f>
        <v>36927318.33</v>
      </c>
      <c r="I24">
        <f>VLOOKUP(F24,'Fee Schedule'!$D$5:$F$8,3,TRUE)</f>
        <v>22</v>
      </c>
      <c r="J24">
        <f>IFERROR(VLOOKUP(A24,'Fee Schedule'!$A$5:$B$21,2,FALSE),I24)</f>
        <v>27.5</v>
      </c>
      <c r="K24" t="str">
        <f>INDEX('Entity Map'!$C:$C,MATCH(A24,'Entity Map'!$A:$A,0))</f>
        <v>DubCo</v>
      </c>
      <c r="L24" t="str">
        <f>INDEX('Entity Map'!$D:$D,MATCH(A24,'Entity Map'!$A:$A,0))</f>
        <v>CC-150</v>
      </c>
      <c r="M24">
        <f>ROUND(F24*J24/10000,2)</f>
        <v>101550.13</v>
      </c>
      <c r="N24">
        <f>DAY(EOMONTH(D24,0))</f>
        <v>30</v>
      </c>
      <c r="O24">
        <f>DATEDIF(D24,EOMONTH(D24,0),"d")+1</f>
        <v>30</v>
      </c>
      <c r="P24">
        <f>ROUND(M24*O24/N24,2)</f>
        <v>101550.13</v>
      </c>
      <c r="Q24">
        <f>MAX(P24,'Fee Schedule'!$I$3)</f>
        <v>101550.13</v>
      </c>
      <c r="R24">
        <f>MIN(Q24,'Fee Schedule'!$I$4)</f>
        <v>101550.13</v>
      </c>
      <c r="S24">
        <f>IFERROR(R24*'Fee Schedule'!$I$5,0)</f>
        <v>2538.75325</v>
      </c>
      <c r="T24">
        <f>ROUND(R24-S24,2)</f>
        <v>99011.38</v>
      </c>
      <c r="U24">
        <f>IFERROR(VLOOKUP(A24,Overrides!$A:$C,3,FALSE),T24)</f>
        <v>99011.38</v>
      </c>
      <c r="V24" t="str">
        <f>IF(U24=T24,"","OVERRIDE")</f>
        <v/>
      </c>
      <c r="W24" t="str">
        <f>LEFT(A24,3)&amp;"-"&amp;E24</f>
        <v>000-2026-11</v>
      </c>
      <c r="X24">
        <f>COUNTIFS(Positions!$A:$A,A24)</f>
        <v>2</v>
      </c>
      <c r="Y24">
        <f>SUM($U$19:U24)</f>
        <v>398996.88</v>
      </c>
      <c r="Z24" t="str">
        <f>UPPER(TRIM(INDEX('Entity Map'!$E:$E,MATCH(A24,'Entity Map'!$A:$A,0))))</f>
        <v>FIXED INCOME</v>
      </c>
      <c r="AA24">
        <f>SUMIFS(Positions!$F:$F,Positions!$E:$E,Z24)</f>
        <v>2496645976.4</v>
      </c>
      <c r="AB24">
        <f>IFERROR(F24/AA24,0)</f>
        <v>0.014790770769689491</v>
      </c>
      <c r="AC24">
        <f>SUMPRODUCT(Positions!$F$18:$F$185,--(Positions!$A$18:$A$185=A24))</f>
        <v>73854636.66</v>
      </c>
      <c r="AD24" t="str">
        <f>IF(U24&gt;40000,"A",IF(U24&gt;8000,"B","C"))</f>
        <v>A</v>
      </c>
      <c r="AE24">
        <f>COUNTIF('Entity Map'!$A:$A,A24)</f>
        <v>1</v>
      </c>
      <c r="AF24">
        <f>MAX(Positions!$C:$C)</f>
        <v>46354</v>
      </c>
      <c r="AG24">
        <f>YEAR(D24)</f>
        <v>2026</v>
      </c>
      <c r="AH24">
        <f>ROUND(F24*$B$14/10000,2)</f>
        <v>96011.03</v>
      </c>
      <c r="AI24">
        <f>AH24-T24</f>
        <v>-3000.350000000006</v>
      </c>
      <c r="AJ24">
        <f>AI24*$B$15</f>
        <v>-2910.3395000000055</v>
      </c>
      <c r="AK24" t="str">
        <f>CONCATENATE(A24," / ",TEXT(AJ24,"0.00"))</f>
        <v>00006 / -2910.34</v>
      </c>
    </row>
    <row r="25">
      <c r="A25" t="inlineStr">
        <is>
          <t>00007</t>
        </is>
      </c>
      <c r="B25" t="str">
        <f>INDEX('Entity Map'!$B:$B,MATCH(A25,'Entity Map'!$A:$A,0))</f>
        <v>Client 007 Holdings</v>
      </c>
      <c r="C25">
        <f>INDEX('Entity Map'!$F:$F,MATCH(A25,'Entity Map'!$A:$A,0))</f>
        <v>45358</v>
      </c>
      <c r="D25">
        <f>MAX(DATE(2026,11,1),C25)</f>
        <v>46327</v>
      </c>
      <c r="E25" t="str">
        <f>TEXT(D25,"yyyy-mm")</f>
        <v>2026-11</v>
      </c>
      <c r="F25">
        <f>AVERAGEIFS(Positions!$F:$F,Positions!$A:$A,A25)</f>
        <v>29063097.365000002</v>
      </c>
      <c r="G25">
        <f>F24</f>
        <v>36927318.33</v>
      </c>
      <c r="H25">
        <f>IF(A25=A24,G25,F25)</f>
        <v>29063097.365000002</v>
      </c>
      <c r="I25">
        <f>VLOOKUP(F25,'Fee Schedule'!$D$5:$F$8,3,TRUE)</f>
        <v>22</v>
      </c>
      <c r="J25">
        <f>IFERROR(VLOOKUP(A25,'Fee Schedule'!$A$5:$B$21,2,FALSE),I25)</f>
        <v>22</v>
      </c>
      <c r="K25" t="str">
        <f>INDEX('Entity Map'!$C:$C,MATCH(A25,'Entity Map'!$A:$A,0))</f>
        <v>LuxCo</v>
      </c>
      <c r="L25" t="str">
        <f>INDEX('Entity Map'!$D:$D,MATCH(A25,'Entity Map'!$A:$A,0))</f>
        <v>CC-100</v>
      </c>
      <c r="M25">
        <f>ROUND(F25*J25/10000,2)</f>
        <v>63938.81</v>
      </c>
      <c r="N25">
        <f>DAY(EOMONTH(D25,0))</f>
        <v>30</v>
      </c>
      <c r="O25">
        <f>DATEDIF(D25,EOMONTH(D25,0),"d")+1</f>
        <v>30</v>
      </c>
      <c r="P25">
        <f>ROUND(M25*O25/N25,2)</f>
        <v>63938.81</v>
      </c>
      <c r="Q25">
        <f>MAX(P25,'Fee Schedule'!$I$3)</f>
        <v>63938.81</v>
      </c>
      <c r="R25">
        <f>MIN(Q25,'Fee Schedule'!$I$4)</f>
        <v>63938.81</v>
      </c>
      <c r="S25">
        <f>IFERROR(R25*'Fee Schedule'!$I$5,0)</f>
        <v>1598.47025</v>
      </c>
      <c r="T25">
        <f>ROUND(R25-S25,2)</f>
        <v>62340.34</v>
      </c>
      <c r="U25">
        <f>IFERROR(VLOOKUP(A25,Overrides!$A:$C,3,FALSE),T25)</f>
        <v>0</v>
      </c>
      <c r="V25" t="str">
        <f>IF(U25=T25,"","OVERRIDE")</f>
        <v>OVERRIDE</v>
      </c>
      <c r="W25" t="str">
        <f>LEFT(A25,3)&amp;"-"&amp;E25</f>
        <v>000-2026-11</v>
      </c>
      <c r="X25">
        <f>COUNTIFS(Positions!$A:$A,A25)</f>
        <v>2</v>
      </c>
      <c r="Y25">
        <f>SUM($U$19:U25)</f>
        <v>398996.88</v>
      </c>
      <c r="Z25" t="str">
        <f>UPPER(TRIM(INDEX('Entity Map'!$E:$E,MATCH(A25,'Entity Map'!$A:$A,0))))</f>
        <v>BALANCED</v>
      </c>
      <c r="AA25">
        <f>SUMIFS(Positions!$F:$F,Positions!$E:$E,Z25)</f>
        <v>2420753390.7000003</v>
      </c>
      <c r="AB25">
        <f>IFERROR(F25/AA25,0)</f>
        <v>0.012005806736305318</v>
      </c>
      <c r="AC25">
        <f>SUMPRODUCT(Positions!$F$18:$F$185,--(Positions!$A$18:$A$185=A25))</f>
        <v>58126194.730000004</v>
      </c>
      <c r="AD25" t="str">
        <f>IF(U25&gt;40000,"A",IF(U25&gt;8000,"B","C"))</f>
        <v>C</v>
      </c>
      <c r="AE25">
        <f>COUNTIF('Entity Map'!$A:$A,A25)</f>
        <v>1</v>
      </c>
      <c r="AF25">
        <f>MAX(Positions!$C:$C)</f>
        <v>46354</v>
      </c>
      <c r="AG25">
        <f>YEAR(D25)</f>
        <v>2026</v>
      </c>
      <c r="AH25">
        <f>ROUND(F25*$B$14/10000,2)</f>
        <v>75564.05</v>
      </c>
      <c r="AI25">
        <f>AH25-T25</f>
        <v>13223.710000000006</v>
      </c>
      <c r="AJ25">
        <f>AI25*$B$15</f>
        <v>12826.998700000006</v>
      </c>
      <c r="AK25" t="str">
        <f>CONCATENATE(A25," / ",TEXT(AJ25,"0.00"))</f>
        <v>00007 / 12827.00</v>
      </c>
    </row>
    <row r="26">
      <c r="A26" t="inlineStr">
        <is>
          <t>00008</t>
        </is>
      </c>
      <c r="B26" t="str">
        <f>INDEX('Entity Map'!$B:$B,MATCH(A26,'Entity Map'!$A:$A,0))</f>
        <v>Client 008 Holdings</v>
      </c>
      <c r="C26">
        <f>INDEX('Entity Map'!$F:$F,MATCH(A26,'Entity Map'!$A:$A,0))</f>
        <v>45359</v>
      </c>
      <c r="D26">
        <f>MAX(DATE(2026,11,1),C26)</f>
        <v>46327</v>
      </c>
      <c r="E26" t="str">
        <f>TEXT(D26,"yyyy-mm")</f>
        <v>2026-11</v>
      </c>
      <c r="F26">
        <f>AVERAGEIFS(Positions!$F:$F,Positions!$A:$A,A26)</f>
        <v>37175444.015</v>
      </c>
      <c r="G26">
        <f>F25</f>
        <v>29063097.365000002</v>
      </c>
      <c r="H26">
        <f>IF(A26=A25,G26,F26)</f>
        <v>37175444.015</v>
      </c>
      <c r="I26">
        <f>VLOOKUP(F26,'Fee Schedule'!$D$5:$F$8,3,TRUE)</f>
        <v>22</v>
      </c>
      <c r="J26">
        <f>IFERROR(VLOOKUP(A26,'Fee Schedule'!$A$5:$B$21,2,FALSE),I26)</f>
        <v>22</v>
      </c>
      <c r="K26" t="str">
        <f>INDEX('Entity Map'!$C:$C,MATCH(A26,'Entity Map'!$A:$A,0))</f>
        <v>UKCo</v>
      </c>
      <c r="L26" t="str">
        <f>INDEX('Entity Map'!$D:$D,MATCH(A26,'Entity Map'!$A:$A,0))</f>
        <v>CC-110</v>
      </c>
      <c r="M26">
        <f>ROUND(F26*J26/10000,2)</f>
        <v>81785.98</v>
      </c>
      <c r="N26">
        <f>DAY(EOMONTH(D26,0))</f>
        <v>30</v>
      </c>
      <c r="O26">
        <f>DATEDIF(D26,EOMONTH(D26,0),"d")+1</f>
        <v>30</v>
      </c>
      <c r="P26">
        <f>ROUND(M26*O26/N26,2)</f>
        <v>81785.98</v>
      </c>
      <c r="Q26">
        <f>MAX(P26,'Fee Schedule'!$I$3)</f>
        <v>81785.98</v>
      </c>
      <c r="R26">
        <f>MIN(Q26,'Fee Schedule'!$I$4)</f>
        <v>81785.98</v>
      </c>
      <c r="S26">
        <f>IFERROR(R26*'Fee Schedule'!$I$5,0)</f>
        <v>2044.6495</v>
      </c>
      <c r="T26">
        <f>ROUND(R26-S26,2)</f>
        <v>79741.33</v>
      </c>
      <c r="U26">
        <f>IFERROR(VLOOKUP(A26,Overrides!$A:$C,3,FALSE),T26)</f>
        <v>79741.33</v>
      </c>
      <c r="V26" t="str">
        <f>IF(U26=T26,"","OVERRIDE")</f>
        <v/>
      </c>
      <c r="W26" t="str">
        <f>LEFT(A26,3)&amp;"-"&amp;E26</f>
        <v>000-2026-11</v>
      </c>
      <c r="X26">
        <f>COUNTIFS(Positions!$A:$A,A26)</f>
        <v>2</v>
      </c>
      <c r="Y26">
        <f>SUM($U$19:U26)</f>
        <v>478738.21</v>
      </c>
      <c r="Z26" t="str">
        <f>UPPER(TRIM(INDEX('Entity Map'!$E:$E,MATCH(A26,'Entity Map'!$A:$A,0))))</f>
        <v>EQUITY</v>
      </c>
      <c r="AA26">
        <f>SUMIFS(Positions!$F:$F,Positions!$E:$E,Z26)</f>
        <v>2806311623.609999</v>
      </c>
      <c r="AB26">
        <f>IFERROR(F26/AA26,0)</f>
        <v>0.013247083361033883</v>
      </c>
      <c r="AC26">
        <f>SUMPRODUCT(Positions!$F$18:$F$185,--(Positions!$A$18:$A$185=A26))</f>
        <v>74350888.03</v>
      </c>
      <c r="AD26" t="str">
        <f>IF(U26&gt;40000,"A",IF(U26&gt;8000,"B","C"))</f>
        <v>A</v>
      </c>
      <c r="AE26">
        <f>COUNTIF('Entity Map'!$A:$A,A26)</f>
        <v>1</v>
      </c>
      <c r="AF26">
        <f>MAX(Positions!$C:$C)</f>
        <v>46354</v>
      </c>
      <c r="AG26">
        <f>YEAR(D26)</f>
        <v>2026</v>
      </c>
      <c r="AH26">
        <f>ROUND(F26*$B$14/10000,2)</f>
        <v>96656.15</v>
      </c>
      <c r="AI26">
        <f>AH26-T26</f>
        <v>16914.819999999992</v>
      </c>
      <c r="AJ26">
        <f>AI26*$B$15</f>
        <v>16407.375399999994</v>
      </c>
      <c r="AK26" t="str">
        <f>CONCATENATE(A26," / ",TEXT(AJ26,"0.00"))</f>
        <v>00008 / 16407.38</v>
      </c>
    </row>
    <row r="27">
      <c r="A27" t="inlineStr">
        <is>
          <t>00009</t>
        </is>
      </c>
      <c r="B27" t="str">
        <f>INDEX('Entity Map'!$B:$B,MATCH(A27,'Entity Map'!$A:$A,0))</f>
        <v>Client 009 Holdings</v>
      </c>
      <c r="C27">
        <f>INDEX('Entity Map'!$F:$F,MATCH(A27,'Entity Map'!$A:$A,0))</f>
        <v>45360</v>
      </c>
      <c r="D27">
        <f>MAX(DATE(2026,11,1),C27)</f>
        <v>46327</v>
      </c>
      <c r="E27" t="str">
        <f>TEXT(D27,"yyyy-mm")</f>
        <v>2026-11</v>
      </c>
      <c r="F27">
        <f>AVERAGEIFS(Positions!$F:$F,Positions!$A:$A,A27)</f>
        <v>47933384.785</v>
      </c>
      <c r="G27">
        <f>F26</f>
        <v>37175444.015</v>
      </c>
      <c r="H27">
        <f>IF(A27=A26,G27,F27)</f>
        <v>47933384.785</v>
      </c>
      <c r="I27">
        <f>VLOOKUP(F27,'Fee Schedule'!$D$5:$F$8,3,TRUE)</f>
        <v>22</v>
      </c>
      <c r="J27">
        <f>IFERROR(VLOOKUP(A27,'Fee Schedule'!$A$5:$B$21,2,FALSE),I27)</f>
        <v>22</v>
      </c>
      <c r="K27" t="str">
        <f>INDEX('Entity Map'!$C:$C,MATCH(A27,'Entity Map'!$A:$A,0))</f>
        <v>DubCo</v>
      </c>
      <c r="L27" t="str">
        <f>INDEX('Entity Map'!$D:$D,MATCH(A27,'Entity Map'!$A:$A,0))</f>
        <v>CC-120</v>
      </c>
      <c r="M27">
        <f>ROUND(F27*J27/10000,2)</f>
        <v>105453.45</v>
      </c>
      <c r="N27">
        <f>DAY(EOMONTH(D27,0))</f>
        <v>30</v>
      </c>
      <c r="O27">
        <f>DATEDIF(D27,EOMONTH(D27,0),"d")+1</f>
        <v>30</v>
      </c>
      <c r="P27">
        <f>ROUND(M27*O27/N27,2)</f>
        <v>105453.45</v>
      </c>
      <c r="Q27">
        <f>MAX(P27,'Fee Schedule'!$I$3)</f>
        <v>105453.45</v>
      </c>
      <c r="R27">
        <f>MIN(Q27,'Fee Schedule'!$I$4)</f>
        <v>105453.45</v>
      </c>
      <c r="S27">
        <f>IFERROR(R27*'Fee Schedule'!$I$5,0)</f>
        <v>2636.3362500000003</v>
      </c>
      <c r="T27">
        <f>ROUND(R27-S27,2)</f>
        <v>102817.11</v>
      </c>
      <c r="U27">
        <f>IFERROR(VLOOKUP(A27,Overrides!$A:$C,3,FALSE),T27)</f>
        <v>102817.11</v>
      </c>
      <c r="V27" t="str">
        <f>IF(U27=T27,"","OVERRIDE")</f>
        <v/>
      </c>
      <c r="W27" t="str">
        <f>LEFT(A27,3)&amp;"-"&amp;E27</f>
        <v>000-2026-11</v>
      </c>
      <c r="X27">
        <f>COUNTIFS(Positions!$A:$A,A27)</f>
        <v>2</v>
      </c>
      <c r="Y27">
        <f>SUM($U$19:U27)</f>
        <v>581555.32</v>
      </c>
      <c r="Z27" t="str">
        <f>UPPER(TRIM(INDEX('Entity Map'!$E:$E,MATCH(A27,'Entity Map'!$A:$A,0))))</f>
        <v>FIXED INCOME</v>
      </c>
      <c r="AA27">
        <f>SUMIFS(Positions!$F:$F,Positions!$E:$E,Z27)</f>
        <v>2496645976.4</v>
      </c>
      <c r="AB27">
        <f>IFERROR(F27/AA27,0)</f>
        <v>0.019199111623393557</v>
      </c>
      <c r="AC27">
        <f>SUMPRODUCT(Positions!$F$18:$F$185,--(Positions!$A$18:$A$185=A27))</f>
        <v>95866769.57</v>
      </c>
      <c r="AD27" t="str">
        <f>IF(U27&gt;40000,"A",IF(U27&gt;8000,"B","C"))</f>
        <v>A</v>
      </c>
      <c r="AE27">
        <f>COUNTIF('Entity Map'!$A:$A,A27)</f>
        <v>1</v>
      </c>
      <c r="AF27">
        <f>MAX(Positions!$C:$C)</f>
        <v>46354</v>
      </c>
      <c r="AG27">
        <f>YEAR(D27)</f>
        <v>2026</v>
      </c>
      <c r="AH27">
        <f>ROUND(F27*$B$14/10000,2)</f>
        <v>124626.8</v>
      </c>
      <c r="AI27">
        <f>AH27-T27</f>
        <v>21809.690000000002</v>
      </c>
      <c r="AJ27">
        <f>AI27*$B$15</f>
        <v>21155.3993</v>
      </c>
      <c r="AK27" t="str">
        <f>CONCATENATE(A27," / ",TEXT(AJ27,"0.00"))</f>
        <v>00009 / 21155.40</v>
      </c>
    </row>
    <row r="28">
      <c r="A28" t="inlineStr">
        <is>
          <t>00010</t>
        </is>
      </c>
      <c r="B28" t="str">
        <f>INDEX('Entity Map'!$B:$B,MATCH(A28,'Entity Map'!$A:$A,0))</f>
        <v>Client 010 Holdings</v>
      </c>
      <c r="C28">
        <f>INDEX('Entity Map'!$F:$F,MATCH(A28,'Entity Map'!$A:$A,0))</f>
        <v>45361</v>
      </c>
      <c r="D28">
        <f>MAX(DATE(2026,11,1),C28)</f>
        <v>46327</v>
      </c>
      <c r="E28" t="str">
        <f>TEXT(D28,"yyyy-mm")</f>
        <v>2026-11</v>
      </c>
      <c r="F28">
        <f>AVERAGEIFS(Positions!$F:$F,Positions!$A:$A,A28)</f>
        <v>54863920.725</v>
      </c>
      <c r="G28">
        <f>F27</f>
        <v>47933384.785</v>
      </c>
      <c r="H28">
        <f>IF(A28=A27,G28,F28)</f>
        <v>54863920.725</v>
      </c>
      <c r="I28">
        <f>VLOOKUP(F28,'Fee Schedule'!$D$5:$F$8,3,TRUE)</f>
        <v>18.5</v>
      </c>
      <c r="J28">
        <f>IFERROR(VLOOKUP(A28,'Fee Schedule'!$A$5:$B$21,2,FALSE),I28)</f>
        <v>18.5</v>
      </c>
      <c r="K28" t="str">
        <f>INDEX('Entity Map'!$C:$C,MATCH(A28,'Entity Map'!$A:$A,0))</f>
        <v>LuxCo</v>
      </c>
      <c r="L28" t="str">
        <f>INDEX('Entity Map'!$D:$D,MATCH(A28,'Entity Map'!$A:$A,0))</f>
        <v>CC-130</v>
      </c>
      <c r="M28">
        <f>ROUND(F28*J28/10000,2)</f>
        <v>101498.25</v>
      </c>
      <c r="N28">
        <f>DAY(EOMONTH(D28,0))</f>
        <v>30</v>
      </c>
      <c r="O28">
        <f>DATEDIF(D28,EOMONTH(D28,0),"d")+1</f>
        <v>30</v>
      </c>
      <c r="P28">
        <f>ROUND(M28*O28/N28,2)</f>
        <v>101498.25</v>
      </c>
      <c r="Q28">
        <f>MAX(P28,'Fee Schedule'!$I$3)</f>
        <v>101498.25</v>
      </c>
      <c r="R28">
        <f>MIN(Q28,'Fee Schedule'!$I$4)</f>
        <v>101498.25</v>
      </c>
      <c r="S28">
        <f>IFERROR(R28*'Fee Schedule'!$I$5,0)</f>
        <v>2537.45625</v>
      </c>
      <c r="T28">
        <f>ROUND(R28-S28,2)</f>
        <v>98960.79</v>
      </c>
      <c r="U28">
        <f>IFERROR(VLOOKUP(A28,Overrides!$A:$C,3,FALSE),T28)</f>
        <v>98960.79</v>
      </c>
      <c r="V28" t="str">
        <f>IF(U28=T28,"","OVERRIDE")</f>
        <v/>
      </c>
      <c r="W28" t="str">
        <f>LEFT(A28,3)&amp;"-"&amp;E28</f>
        <v>000-2026-11</v>
      </c>
      <c r="X28">
        <f>COUNTIFS(Positions!$A:$A,A28)</f>
        <v>2</v>
      </c>
      <c r="Y28">
        <f>SUM($U$19:U28)</f>
        <v>680516.11</v>
      </c>
      <c r="Z28" t="str">
        <f>UPPER(TRIM(INDEX('Entity Map'!$E:$E,MATCH(A28,'Entity Map'!$A:$A,0))))</f>
        <v>BALANCED</v>
      </c>
      <c r="AA28">
        <f>SUMIFS(Positions!$F:$F,Positions!$E:$E,Z28)</f>
        <v>2420753390.7000003</v>
      </c>
      <c r="AB28">
        <f>IFERROR(F28/AA28,0)</f>
        <v>0.022663985904460598</v>
      </c>
      <c r="AC28">
        <f>SUMPRODUCT(Positions!$F$18:$F$185,--(Positions!$A$18:$A$185=A28))</f>
        <v>109727841.45</v>
      </c>
      <c r="AD28" t="str">
        <f>IF(U28&gt;40000,"A",IF(U28&gt;8000,"B","C"))</f>
        <v>A</v>
      </c>
      <c r="AE28">
        <f>COUNTIF('Entity Map'!$A:$A,A28)</f>
        <v>1</v>
      </c>
      <c r="AF28">
        <f>MAX(Positions!$C:$C)</f>
        <v>46354</v>
      </c>
      <c r="AG28">
        <f>YEAR(D28)</f>
        <v>2026</v>
      </c>
      <c r="AH28">
        <f>ROUND(F28*$B$14/10000,2)</f>
        <v>142646.19</v>
      </c>
      <c r="AI28">
        <f>AH28-T28</f>
        <v>43685.40000000001</v>
      </c>
      <c r="AJ28">
        <f>AI28*$B$15</f>
        <v>42374.83800000001</v>
      </c>
      <c r="AK28" t="str">
        <f>CONCATENATE(A28," / ",TEXT(AJ28,"0.00"))</f>
        <v>00010 / 42374.84</v>
      </c>
    </row>
    <row r="29">
      <c r="A29" t="inlineStr">
        <is>
          <t>00011</t>
        </is>
      </c>
      <c r="B29" t="str">
        <f>INDEX('Entity Map'!$B:$B,MATCH(A29,'Entity Map'!$A:$A,0))</f>
        <v>Client 011 Holdings</v>
      </c>
      <c r="C29">
        <f>INDEX('Entity Map'!$F:$F,MATCH(A29,'Entity Map'!$A:$A,0))</f>
        <v>45362</v>
      </c>
      <c r="D29">
        <f>MAX(DATE(2026,11,1),C29)</f>
        <v>46327</v>
      </c>
      <c r="E29" t="str">
        <f>TEXT(D29,"yyyy-mm")</f>
        <v>2026-11</v>
      </c>
      <c r="F29">
        <f>AVERAGEIFS(Positions!$F:$F,Positions!$A:$A,A29)</f>
        <v>16406934.344999999</v>
      </c>
      <c r="G29">
        <f>F28</f>
        <v>54863920.725</v>
      </c>
      <c r="H29">
        <f>IF(A29=A28,G29,F29)</f>
        <v>16406934.344999999</v>
      </c>
      <c r="I29">
        <f>VLOOKUP(F29,'Fee Schedule'!$D$5:$F$8,3,TRUE)</f>
        <v>27.5</v>
      </c>
      <c r="J29">
        <f>IFERROR(VLOOKUP(A29,'Fee Schedule'!$A$5:$B$21,2,FALSE),I29)</f>
        <v>21.5</v>
      </c>
      <c r="K29" t="str">
        <f>INDEX('Entity Map'!$C:$C,MATCH(A29,'Entity Map'!$A:$A,0))</f>
        <v>UKCo</v>
      </c>
      <c r="L29" t="str">
        <f>INDEX('Entity Map'!$D:$D,MATCH(A29,'Entity Map'!$A:$A,0))</f>
        <v>CC-140</v>
      </c>
      <c r="M29">
        <f>ROUND(F29*J29/10000,2)</f>
        <v>35274.91</v>
      </c>
      <c r="N29">
        <f>DAY(EOMONTH(D29,0))</f>
        <v>30</v>
      </c>
      <c r="O29">
        <f>DATEDIF(D29,EOMONTH(D29,0),"d")+1</f>
        <v>30</v>
      </c>
      <c r="P29">
        <f>ROUND(M29*O29/N29,2)</f>
        <v>35274.91</v>
      </c>
      <c r="Q29">
        <f>MAX(P29,'Fee Schedule'!$I$3)</f>
        <v>35274.91</v>
      </c>
      <c r="R29">
        <f>MIN(Q29,'Fee Schedule'!$I$4)</f>
        <v>35274.91</v>
      </c>
      <c r="S29">
        <f>IFERROR(R29*'Fee Schedule'!$I$5,0)</f>
        <v>881.8727500000001</v>
      </c>
      <c r="T29">
        <f>ROUND(R29-S29,2)</f>
        <v>34393.04</v>
      </c>
      <c r="U29">
        <f>IFERROR(VLOOKUP(A29,Overrides!$A:$C,3,FALSE),T29)</f>
        <v>34393.04</v>
      </c>
      <c r="V29" t="str">
        <f>IF(U29=T29,"","OVERRIDE")</f>
        <v/>
      </c>
      <c r="W29" t="str">
        <f>LEFT(A29,3)&amp;"-"&amp;E29</f>
        <v>000-2026-11</v>
      </c>
      <c r="X29">
        <f>COUNTIFS(Positions!$A:$A,A29)</f>
        <v>2</v>
      </c>
      <c r="Y29">
        <f>SUM($U$19:U29)</f>
        <v>714909.15</v>
      </c>
      <c r="Z29" t="str">
        <f>UPPER(TRIM(INDEX('Entity Map'!$E:$E,MATCH(A29,'Entity Map'!$A:$A,0))))</f>
        <v>EQUITY</v>
      </c>
      <c r="AA29">
        <f>SUMIFS(Positions!$F:$F,Positions!$E:$E,Z29)</f>
        <v>2806311623.609999</v>
      </c>
      <c r="AB29">
        <f>IFERROR(F29/AA29,0)</f>
        <v>0.005846440647205941</v>
      </c>
      <c r="AC29">
        <f>SUMPRODUCT(Positions!$F$18:$F$185,--(Positions!$A$18:$A$185=A29))</f>
        <v>32813868.689999998</v>
      </c>
      <c r="AD29" t="str">
        <f>IF(U29&gt;40000,"A",IF(U29&gt;8000,"B","C"))</f>
        <v>B</v>
      </c>
      <c r="AE29">
        <f>COUNTIF('Entity Map'!$A:$A,A29)</f>
        <v>1</v>
      </c>
      <c r="AF29">
        <f>MAX(Positions!$C:$C)</f>
        <v>46354</v>
      </c>
      <c r="AG29">
        <f>YEAR(D29)</f>
        <v>2026</v>
      </c>
      <c r="AH29">
        <f>ROUND(F29*$B$14/10000,2)</f>
        <v>42658.03</v>
      </c>
      <c r="AI29">
        <f>AH29-T29</f>
        <v>8264.989999999998</v>
      </c>
      <c r="AJ29">
        <f>AI29*$B$15</f>
        <v>8017.040299999998</v>
      </c>
      <c r="AK29" t="str">
        <f>CONCATENATE(A29," / ",TEXT(AJ29,"0.00"))</f>
        <v>00011 / 8017.04</v>
      </c>
    </row>
    <row r="30">
      <c r="A30" t="inlineStr">
        <is>
          <t>00012</t>
        </is>
      </c>
      <c r="B30" t="str">
        <f>INDEX('Entity Map'!$B:$B,MATCH(A30,'Entity Map'!$A:$A,0))</f>
        <v>Client 012 Holdings</v>
      </c>
      <c r="C30">
        <f>INDEX('Entity Map'!$F:$F,MATCH(A30,'Entity Map'!$A:$A,0))</f>
        <v>45363</v>
      </c>
      <c r="D30">
        <f>MAX(DATE(2026,11,1),C30)</f>
        <v>46327</v>
      </c>
      <c r="E30" t="str">
        <f>TEXT(D30,"yyyy-mm")</f>
        <v>2026-11</v>
      </c>
      <c r="F30">
        <f>AVERAGEIFS(Positions!$F:$F,Positions!$A:$A,A30)</f>
        <v>13346470.82</v>
      </c>
      <c r="G30">
        <f>F29</f>
        <v>16406934.344999999</v>
      </c>
      <c r="H30">
        <f>IF(A30=A29,G30,F30)</f>
        <v>13346470.82</v>
      </c>
      <c r="I30">
        <f>VLOOKUP(F30,'Fee Schedule'!$D$5:$F$8,3,TRUE)</f>
        <v>27.5</v>
      </c>
      <c r="J30">
        <f>IFERROR(VLOOKUP(A30,'Fee Schedule'!$A$5:$B$21,2,FALSE),I30)</f>
        <v>27.5</v>
      </c>
      <c r="K30" t="str">
        <f>INDEX('Entity Map'!$C:$C,MATCH(A30,'Entity Map'!$A:$A,0))</f>
        <v>DubCo</v>
      </c>
      <c r="L30" t="str">
        <f>INDEX('Entity Map'!$D:$D,MATCH(A30,'Entity Map'!$A:$A,0))</f>
        <v>CC-150</v>
      </c>
      <c r="M30">
        <f>ROUND(F30*J30/10000,2)</f>
        <v>36702.79</v>
      </c>
      <c r="N30">
        <f>DAY(EOMONTH(D30,0))</f>
        <v>30</v>
      </c>
      <c r="O30">
        <f>DATEDIF(D30,EOMONTH(D30,0),"d")+1</f>
        <v>30</v>
      </c>
      <c r="P30">
        <f>ROUND(M30*O30/N30,2)</f>
        <v>36702.79</v>
      </c>
      <c r="Q30">
        <f>MAX(P30,'Fee Schedule'!$I$3)</f>
        <v>36702.79</v>
      </c>
      <c r="R30">
        <f>MIN(Q30,'Fee Schedule'!$I$4)</f>
        <v>36702.79</v>
      </c>
      <c r="S30">
        <f>IFERROR(R30*'Fee Schedule'!$I$5,0)</f>
        <v>917.5697500000001</v>
      </c>
      <c r="T30">
        <f>ROUND(R30-S30,2)</f>
        <v>35785.22</v>
      </c>
      <c r="U30">
        <f>IFERROR(VLOOKUP(A30,Overrides!$A:$C,3,FALSE),T30)</f>
        <v>35785.22</v>
      </c>
      <c r="V30" t="str">
        <f>IF(U30=T30,"","OVERRIDE")</f>
        <v/>
      </c>
      <c r="W30" t="str">
        <f>LEFT(A30,3)&amp;"-"&amp;E30</f>
        <v>000-2026-11</v>
      </c>
      <c r="X30">
        <f>COUNTIFS(Positions!$A:$A,A30)</f>
        <v>2</v>
      </c>
      <c r="Y30">
        <f>SUM($U$19:U30)</f>
        <v>750694.37</v>
      </c>
      <c r="Z30" t="str">
        <f>UPPER(TRIM(INDEX('Entity Map'!$E:$E,MATCH(A30,'Entity Map'!$A:$A,0))))</f>
        <v>FIXED INCOME</v>
      </c>
      <c r="AA30">
        <f>SUMIFS(Positions!$F:$F,Positions!$E:$E,Z30)</f>
        <v>2496645976.4</v>
      </c>
      <c r="AB30">
        <f>IFERROR(F30/AA30,0)</f>
        <v>0.005345760250415934</v>
      </c>
      <c r="AC30">
        <f>SUMPRODUCT(Positions!$F$18:$F$185,--(Positions!$A$18:$A$185=A30))</f>
        <v>26692941.64</v>
      </c>
      <c r="AD30" t="str">
        <f>IF(U30&gt;40000,"A",IF(U30&gt;8000,"B","C"))</f>
        <v>B</v>
      </c>
      <c r="AE30">
        <f>COUNTIF('Entity Map'!$A:$A,A30)</f>
        <v>1</v>
      </c>
      <c r="AF30">
        <f>MAX(Positions!$C:$C)</f>
        <v>46354</v>
      </c>
      <c r="AG30">
        <f>YEAR(D30)</f>
        <v>2026</v>
      </c>
      <c r="AH30">
        <f>ROUND(F30*$B$14/10000,2)</f>
        <v>34700.82</v>
      </c>
      <c r="AI30">
        <f>AH30-T30</f>
        <v>-1084.4000000000015</v>
      </c>
      <c r="AJ30">
        <f>AI30*$B$15</f>
        <v>-1051.8680000000013</v>
      </c>
      <c r="AK30" t="str">
        <f>CONCATENATE(A30," / ",TEXT(AJ30,"0.00"))</f>
        <v>00012 / -1051.87</v>
      </c>
    </row>
    <row r="31">
      <c r="A31" t="inlineStr">
        <is>
          <t>00013</t>
        </is>
      </c>
      <c r="B31" t="str">
        <f>INDEX('Entity Map'!$B:$B,MATCH(A31,'Entity Map'!$A:$A,0))</f>
        <v>Client 013 Holdings</v>
      </c>
      <c r="C31">
        <f>INDEX('Entity Map'!$F:$F,MATCH(A31,'Entity Map'!$A:$A,0))</f>
        <v>46338</v>
      </c>
      <c r="D31">
        <f>MAX(DATE(2026,11,1),C31)</f>
        <v>46338</v>
      </c>
      <c r="E31" t="str">
        <f>TEXT(D31,"yyyy-mm")</f>
        <v>2026-11</v>
      </c>
      <c r="F31">
        <f>AVERAGEIFS(Positions!$F:$F,Positions!$A:$A,A31)</f>
        <v>26995267.205</v>
      </c>
      <c r="G31">
        <f>F30</f>
        <v>13346470.82</v>
      </c>
      <c r="H31">
        <f>IF(A31=A30,G31,F31)</f>
        <v>26995267.205</v>
      </c>
      <c r="I31">
        <f>VLOOKUP(F31,'Fee Schedule'!$D$5:$F$8,3,TRUE)</f>
        <v>22</v>
      </c>
      <c r="J31">
        <f>IFERROR(VLOOKUP(A31,'Fee Schedule'!$A$5:$B$21,2,FALSE),I31)</f>
        <v>22</v>
      </c>
      <c r="K31" t="str">
        <f>INDEX('Entity Map'!$C:$C,MATCH(A31,'Entity Map'!$A:$A,0))</f>
        <v>LuxCo</v>
      </c>
      <c r="L31" t="str">
        <f>INDEX('Entity Map'!$D:$D,MATCH(A31,'Entity Map'!$A:$A,0))</f>
        <v>CC-100</v>
      </c>
      <c r="M31">
        <f>ROUND(F31*J31/10000,2)</f>
        <v>59389.59</v>
      </c>
      <c r="N31">
        <f>DAY(EOMONTH(D31,0))</f>
        <v>30</v>
      </c>
      <c r="O31">
        <f>DATEDIF(D31,EOMONTH(D31,0),"d")+1</f>
        <v>19</v>
      </c>
      <c r="P31">
        <f>ROUND(M31*O31/N31,2)</f>
        <v>37613.41</v>
      </c>
      <c r="Q31">
        <f>MAX(P31,'Fee Schedule'!$I$3)</f>
        <v>37613.41</v>
      </c>
      <c r="R31">
        <f>MIN(Q31,'Fee Schedule'!$I$4)</f>
        <v>37613.41</v>
      </c>
      <c r="S31">
        <f>IFERROR(R31*'Fee Schedule'!$I$5,0)</f>
        <v>940.3352500000001</v>
      </c>
      <c r="T31">
        <f>ROUND(R31-S31,2)</f>
        <v>36673.07</v>
      </c>
      <c r="U31">
        <f>IFERROR(VLOOKUP(A31,Overrides!$A:$C,3,FALSE),T31)</f>
        <v>36673.07</v>
      </c>
      <c r="V31" t="str">
        <f>IF(U31=T31,"","OVERRIDE")</f>
        <v/>
      </c>
      <c r="W31" t="str">
        <f>LEFT(A31,3)&amp;"-"&amp;E31</f>
        <v>000-2026-11</v>
      </c>
      <c r="X31">
        <f>COUNTIFS(Positions!$A:$A,A31)</f>
        <v>2</v>
      </c>
      <c r="Y31">
        <f>SUM($U$19:U31)</f>
        <v>787367.44</v>
      </c>
      <c r="Z31" t="str">
        <f>UPPER(TRIM(INDEX('Entity Map'!$E:$E,MATCH(A31,'Entity Map'!$A:$A,0))))</f>
        <v>BALANCED</v>
      </c>
      <c r="AA31">
        <f>SUMIFS(Positions!$F:$F,Positions!$E:$E,Z31)</f>
        <v>2420753390.7000003</v>
      </c>
      <c r="AB31">
        <f>IFERROR(F31/AA31,0)</f>
        <v>0.011151597394724242</v>
      </c>
      <c r="AC31">
        <f>SUMPRODUCT(Positions!$F$18:$F$185,--(Positions!$A$18:$A$185=A31))</f>
        <v>53990534.41</v>
      </c>
      <c r="AD31" t="str">
        <f>IF(U31&gt;40000,"A",IF(U31&gt;8000,"B","C"))</f>
        <v>B</v>
      </c>
      <c r="AE31">
        <f>COUNTIF('Entity Map'!$A:$A,A31)</f>
        <v>1</v>
      </c>
      <c r="AF31">
        <f>MAX(Positions!$C:$C)</f>
        <v>46354</v>
      </c>
      <c r="AG31">
        <f>YEAR(D31)</f>
        <v>2026</v>
      </c>
      <c r="AH31">
        <f>ROUND(F31*$B$14/10000,2)</f>
        <v>70187.69</v>
      </c>
      <c r="AI31">
        <f>AH31-T31</f>
        <v>33514.62</v>
      </c>
      <c r="AJ31">
        <f>AI31*$B$15</f>
        <v>32509.1814</v>
      </c>
      <c r="AK31" t="str">
        <f>CONCATENATE(A31," / ",TEXT(AJ31,"0.00"))</f>
        <v>00013 / 32509.18</v>
      </c>
    </row>
    <row r="32">
      <c r="A32" t="inlineStr">
        <is>
          <t>00014</t>
        </is>
      </c>
      <c r="B32" t="str">
        <f>INDEX('Entity Map'!$B:$B,MATCH(A32,'Entity Map'!$A:$A,0))</f>
        <v>Client 014 Holdings</v>
      </c>
      <c r="C32">
        <f>INDEX('Entity Map'!$F:$F,MATCH(A32,'Entity Map'!$A:$A,0))</f>
        <v>45365</v>
      </c>
      <c r="D32">
        <f>MAX(DATE(2026,11,1),C32)</f>
        <v>46327</v>
      </c>
      <c r="E32" t="str">
        <f>TEXT(D32,"yyyy-mm")</f>
        <v>2026-11</v>
      </c>
      <c r="F32">
        <f>AVERAGEIFS(Positions!$F:$F,Positions!$A:$A,A32)</f>
        <v>20425770.585</v>
      </c>
      <c r="G32">
        <f>F31</f>
        <v>26995267.205</v>
      </c>
      <c r="H32">
        <f>IF(A32=A31,G32,F32)</f>
        <v>20425770.585</v>
      </c>
      <c r="I32">
        <f>VLOOKUP(F32,'Fee Schedule'!$D$5:$F$8,3,TRUE)</f>
        <v>22</v>
      </c>
      <c r="J32">
        <f>IFERROR(VLOOKUP(A32,'Fee Schedule'!$A$5:$B$21,2,FALSE),I32)</f>
        <v>22</v>
      </c>
      <c r="K32" t="str">
        <f>INDEX('Entity Map'!$C:$C,MATCH(A32,'Entity Map'!$A:$A,0))</f>
        <v>UKCo</v>
      </c>
      <c r="L32" t="str">
        <f>INDEX('Entity Map'!$D:$D,MATCH(A32,'Entity Map'!$A:$A,0))</f>
        <v>CC-110</v>
      </c>
      <c r="M32">
        <f>ROUND(F32*J32/10000,2)</f>
        <v>44936.7</v>
      </c>
      <c r="N32">
        <f>DAY(EOMONTH(D32,0))</f>
        <v>30</v>
      </c>
      <c r="O32">
        <f>DATEDIF(D32,EOMONTH(D32,0),"d")+1</f>
        <v>30</v>
      </c>
      <c r="P32">
        <f>ROUND(M32*O32/N32,2)</f>
        <v>44936.7</v>
      </c>
      <c r="Q32">
        <f>MAX(P32,'Fee Schedule'!$I$3)</f>
        <v>44936.7</v>
      </c>
      <c r="R32">
        <f>MIN(Q32,'Fee Schedule'!$I$4)</f>
        <v>44936.7</v>
      </c>
      <c r="S32">
        <f>IFERROR(R32*'Fee Schedule'!$I$5,0)</f>
        <v>1123.4175</v>
      </c>
      <c r="T32">
        <f>ROUND(R32-S32,2)</f>
        <v>43813.28</v>
      </c>
      <c r="U32">
        <f>IFERROR(VLOOKUP(A32,Overrides!$A:$C,3,FALSE),T32)</f>
        <v>43813.28</v>
      </c>
      <c r="V32" t="str">
        <f>IF(U32=T32,"","OVERRIDE")</f>
        <v/>
      </c>
      <c r="W32" t="str">
        <f>LEFT(A32,3)&amp;"-"&amp;E32</f>
        <v>000-2026-11</v>
      </c>
      <c r="X32">
        <f>COUNTIFS(Positions!$A:$A,A32)</f>
        <v>2</v>
      </c>
      <c r="Y32">
        <f>SUM($U$19:U32)</f>
        <v>831180.72</v>
      </c>
      <c r="Z32" t="str">
        <f>UPPER(TRIM(INDEX('Entity Map'!$E:$E,MATCH(A32,'Entity Map'!$A:$A,0))))</f>
        <v>EQUITY</v>
      </c>
      <c r="AA32">
        <f>SUMIFS(Positions!$F:$F,Positions!$E:$E,Z32)</f>
        <v>2806311623.609999</v>
      </c>
      <c r="AB32">
        <f>IFERROR(F32/AA32,0)</f>
        <v>0.007278511200664373</v>
      </c>
      <c r="AC32">
        <f>SUMPRODUCT(Positions!$F$18:$F$185,--(Positions!$A$18:$A$185=A32))</f>
        <v>40851541.17</v>
      </c>
      <c r="AD32" t="str">
        <f>IF(U32&gt;40000,"A",IF(U32&gt;8000,"B","C"))</f>
        <v>A</v>
      </c>
      <c r="AE32">
        <f>COUNTIF('Entity Map'!$A:$A,A32)</f>
        <v>1</v>
      </c>
      <c r="AF32">
        <f>MAX(Positions!$C:$C)</f>
        <v>46354</v>
      </c>
      <c r="AG32">
        <f>YEAR(D32)</f>
        <v>2026</v>
      </c>
      <c r="AH32">
        <f>ROUND(F32*$B$14/10000,2)</f>
        <v>53107</v>
      </c>
      <c r="AI32">
        <f>AH32-T32</f>
        <v>9293.720000000001</v>
      </c>
      <c r="AJ32">
        <f>AI32*$B$15</f>
        <v>9014.9084</v>
      </c>
      <c r="AK32" t="str">
        <f>CONCATENATE(A32," / ",TEXT(AJ32,"0.00"))</f>
        <v>00014 / 9014.91</v>
      </c>
    </row>
    <row r="33">
      <c r="A33" t="inlineStr">
        <is>
          <t>00015</t>
        </is>
      </c>
      <c r="B33" t="str">
        <f>INDEX('Entity Map'!$B:$B,MATCH(A33,'Entity Map'!$A:$A,0))</f>
        <v>Client 015 Holdings</v>
      </c>
      <c r="C33">
        <f>INDEX('Entity Map'!$F:$F,MATCH(A33,'Entity Map'!$A:$A,0))</f>
        <v>45366</v>
      </c>
      <c r="D33">
        <f>MAX(DATE(2026,11,1),C33)</f>
        <v>46327</v>
      </c>
      <c r="E33" t="str">
        <f>TEXT(D33,"yyyy-mm")</f>
        <v>2026-11</v>
      </c>
      <c r="F33">
        <f>AVERAGEIFS(Positions!$F:$F,Positions!$A:$A,A33)</f>
        <v>41238488.075</v>
      </c>
      <c r="G33">
        <f>F32</f>
        <v>20425770.585</v>
      </c>
      <c r="H33">
        <f>IF(A33=A32,G33,F33)</f>
        <v>41238488.075</v>
      </c>
      <c r="I33">
        <f>VLOOKUP(F33,'Fee Schedule'!$D$5:$F$8,3,TRUE)</f>
        <v>22</v>
      </c>
      <c r="J33">
        <f>IFERROR(VLOOKUP(A33,'Fee Schedule'!$A$5:$B$21,2,FALSE),I33)</f>
        <v>22</v>
      </c>
      <c r="K33" t="str">
        <f>INDEX('Entity Map'!$C:$C,MATCH(A33,'Entity Map'!$A:$A,0))</f>
        <v>DubCo</v>
      </c>
      <c r="L33" t="str">
        <f>INDEX('Entity Map'!$D:$D,MATCH(A33,'Entity Map'!$A:$A,0))</f>
        <v>CC-120</v>
      </c>
      <c r="M33">
        <f>ROUND(F33*J33/10000,2)</f>
        <v>90724.67</v>
      </c>
      <c r="N33">
        <f>DAY(EOMONTH(D33,0))</f>
        <v>30</v>
      </c>
      <c r="O33">
        <f>DATEDIF(D33,EOMONTH(D33,0),"d")+1</f>
        <v>30</v>
      </c>
      <c r="P33">
        <f>ROUND(M33*O33/N33,2)</f>
        <v>90724.67</v>
      </c>
      <c r="Q33">
        <f>MAX(P33,'Fee Schedule'!$I$3)</f>
        <v>90724.67</v>
      </c>
      <c r="R33">
        <f>MIN(Q33,'Fee Schedule'!$I$4)</f>
        <v>90724.67</v>
      </c>
      <c r="S33">
        <f>IFERROR(R33*'Fee Schedule'!$I$5,0)</f>
        <v>2268.11675</v>
      </c>
      <c r="T33">
        <f>ROUND(R33-S33,2)</f>
        <v>88456.55</v>
      </c>
      <c r="U33">
        <f>IFERROR(VLOOKUP(A33,Overrides!$A:$C,3,FALSE),T33)</f>
        <v>88456.55</v>
      </c>
      <c r="V33" t="str">
        <f>IF(U33=T33,"","OVERRIDE")</f>
        <v/>
      </c>
      <c r="W33" t="str">
        <f>LEFT(A33,3)&amp;"-"&amp;E33</f>
        <v>000-2026-11</v>
      </c>
      <c r="X33">
        <f>COUNTIFS(Positions!$A:$A,A33)</f>
        <v>2</v>
      </c>
      <c r="Y33">
        <f>SUM($U$19:U33)</f>
        <v>919637.27</v>
      </c>
      <c r="Z33" t="str">
        <f>UPPER(TRIM(INDEX('Entity Map'!$E:$E,MATCH(A33,'Entity Map'!$A:$A,0))))</f>
        <v>FIXED INCOME</v>
      </c>
      <c r="AA33">
        <f>SUMIFS(Positions!$F:$F,Positions!$E:$E,Z33)</f>
        <v>2496645976.4</v>
      </c>
      <c r="AB33">
        <f>IFERROR(F33/AA33,0)</f>
        <v>0.016517555338167407</v>
      </c>
      <c r="AC33">
        <f>SUMPRODUCT(Positions!$F$18:$F$185,--(Positions!$A$18:$A$185=A33))</f>
        <v>82476976.15</v>
      </c>
      <c r="AD33" t="str">
        <f>IF(U33&gt;40000,"A",IF(U33&gt;8000,"B","C"))</f>
        <v>A</v>
      </c>
      <c r="AE33">
        <f>COUNTIF('Entity Map'!$A:$A,A33)</f>
        <v>1</v>
      </c>
      <c r="AF33">
        <f>MAX(Positions!$C:$C)</f>
        <v>46354</v>
      </c>
      <c r="AG33">
        <f>YEAR(D33)</f>
        <v>2026</v>
      </c>
      <c r="AH33">
        <f>ROUND(F33*$B$14/10000,2)</f>
        <v>107220.07</v>
      </c>
      <c r="AI33">
        <f>AH33-T33</f>
        <v>18763.520000000004</v>
      </c>
      <c r="AJ33">
        <f>AI33*$B$15</f>
        <v>18200.614400000002</v>
      </c>
      <c r="AK33" t="str">
        <f>CONCATENATE(A33," / ",TEXT(AJ33,"0.00"))</f>
        <v>00015 / 18200.61</v>
      </c>
    </row>
    <row r="34">
      <c r="A34" t="inlineStr">
        <is>
          <t>00016</t>
        </is>
      </c>
      <c r="B34" t="str">
        <f>INDEX('Entity Map'!$B:$B,MATCH(A34,'Entity Map'!$A:$A,0))</f>
        <v>Client 016 Holdings</v>
      </c>
      <c r="C34">
        <f>INDEX('Entity Map'!$F:$F,MATCH(A34,'Entity Map'!$A:$A,0))</f>
        <v>45367</v>
      </c>
      <c r="D34">
        <f>MAX(DATE(2026,11,1),C34)</f>
        <v>46327</v>
      </c>
      <c r="E34" t="str">
        <f>TEXT(D34,"yyyy-mm")</f>
        <v>2026-11</v>
      </c>
      <c r="F34">
        <f>AVERAGEIFS(Positions!$F:$F,Positions!$A:$A,A34)</f>
        <v>70814066.595</v>
      </c>
      <c r="G34">
        <f>F33</f>
        <v>41238488.075</v>
      </c>
      <c r="H34">
        <f>IF(A34=A33,G34,F34)</f>
        <v>70814066.595</v>
      </c>
      <c r="I34">
        <f>VLOOKUP(F34,'Fee Schedule'!$D$5:$F$8,3,TRUE)</f>
        <v>18.5</v>
      </c>
      <c r="J34">
        <f>IFERROR(VLOOKUP(A34,'Fee Schedule'!$A$5:$B$21,2,FALSE),I34)</f>
        <v>29</v>
      </c>
      <c r="K34" t="str">
        <f>INDEX('Entity Map'!$C:$C,MATCH(A34,'Entity Map'!$A:$A,0))</f>
        <v>LuxCo</v>
      </c>
      <c r="L34" t="str">
        <f>INDEX('Entity Map'!$D:$D,MATCH(A34,'Entity Map'!$A:$A,0))</f>
        <v>CC-130</v>
      </c>
      <c r="M34">
        <f>ROUND(F34*J34/10000,2)</f>
        <v>205360.79</v>
      </c>
      <c r="N34">
        <f>DAY(EOMONTH(D34,0))</f>
        <v>30</v>
      </c>
      <c r="O34">
        <f>DATEDIF(D34,EOMONTH(D34,0),"d")+1</f>
        <v>30</v>
      </c>
      <c r="P34">
        <f>ROUND(M34*O34/N34,2)</f>
        <v>205360.79</v>
      </c>
      <c r="Q34">
        <f>MAX(P34,'Fee Schedule'!$I$3)</f>
        <v>205360.79</v>
      </c>
      <c r="R34">
        <f>MIN(Q34,'Fee Schedule'!$I$4)</f>
        <v>205360.79</v>
      </c>
      <c r="S34">
        <f>IFERROR(R34*'Fee Schedule'!$I$5,0)</f>
        <v>5134.01975</v>
      </c>
      <c r="T34">
        <f>ROUND(R34-S34,2)</f>
        <v>200226.77</v>
      </c>
      <c r="U34">
        <f>IFERROR(VLOOKUP(A34,Overrides!$A:$C,3,FALSE),T34)</f>
        <v>200226.77</v>
      </c>
      <c r="V34" t="str">
        <f>IF(U34=T34,"","OVERRIDE")</f>
        <v/>
      </c>
      <c r="W34" t="str">
        <f>LEFT(A34,3)&amp;"-"&amp;E34</f>
        <v>000-2026-11</v>
      </c>
      <c r="X34">
        <f>COUNTIFS(Positions!$A:$A,A34)</f>
        <v>2</v>
      </c>
      <c r="Y34">
        <f>SUM($U$19:U34)</f>
        <v>1119864.04</v>
      </c>
      <c r="Z34" t="str">
        <f>UPPER(TRIM(INDEX('Entity Map'!$E:$E,MATCH(A34,'Entity Map'!$A:$A,0))))</f>
        <v>BALANCED</v>
      </c>
      <c r="AA34">
        <f>SUMIFS(Positions!$F:$F,Positions!$E:$E,Z34)</f>
        <v>2420753390.7000003</v>
      </c>
      <c r="AB34">
        <f>IFERROR(F34/AA34,0)</f>
        <v>0.02925290402031533</v>
      </c>
      <c r="AC34">
        <f>SUMPRODUCT(Positions!$F$18:$F$185,--(Positions!$A$18:$A$185=A34))</f>
        <v>141628133.19</v>
      </c>
      <c r="AD34" t="str">
        <f>IF(U34&gt;40000,"A",IF(U34&gt;8000,"B","C"))</f>
        <v>A</v>
      </c>
      <c r="AE34">
        <f>COUNTIF('Entity Map'!$A:$A,A34)</f>
        <v>1</v>
      </c>
      <c r="AF34">
        <f>MAX(Positions!$C:$C)</f>
        <v>46354</v>
      </c>
      <c r="AG34">
        <f>YEAR(D34)</f>
        <v>2026</v>
      </c>
      <c r="AH34">
        <f>ROUND(F34*$B$14/10000,2)</f>
        <v>184116.57</v>
      </c>
      <c r="AI34">
        <f>AH34-T34</f>
        <v>-16110.199999999983</v>
      </c>
      <c r="AJ34">
        <f>AI34*$B$15</f>
        <v>-15626.893999999982</v>
      </c>
      <c r="AK34" t="str">
        <f>CONCATENATE(A34," / ",TEXT(AJ34,"0.00"))</f>
        <v>00016 / -15626.89</v>
      </c>
    </row>
    <row r="35">
      <c r="A35" t="inlineStr">
        <is>
          <t>00017</t>
        </is>
      </c>
      <c r="B35" t="str">
        <f>INDEX('Entity Map'!$B:$B,MATCH(A35,'Entity Map'!$A:$A,0))</f>
        <v>Client 017 Holdings</v>
      </c>
      <c r="C35">
        <f>INDEX('Entity Map'!$F:$F,MATCH(A35,'Entity Map'!$A:$A,0))</f>
        <v>45368</v>
      </c>
      <c r="D35">
        <f>MAX(DATE(2026,11,1),C35)</f>
        <v>46327</v>
      </c>
      <c r="E35" t="str">
        <f>TEXT(D35,"yyyy-mm")</f>
        <v>2026-11</v>
      </c>
      <c r="F35">
        <f>AVERAGEIFS(Positions!$F:$F,Positions!$A:$A,A35)</f>
        <v>7209550.23</v>
      </c>
      <c r="G35">
        <f>F34</f>
        <v>70814066.595</v>
      </c>
      <c r="H35">
        <f>IF(A35=A34,G35,F35)</f>
        <v>7209550.23</v>
      </c>
      <c r="I35">
        <f>VLOOKUP(F35,'Fee Schedule'!$D$5:$F$8,3,TRUE)</f>
        <v>27.5</v>
      </c>
      <c r="J35">
        <f>IFERROR(VLOOKUP(A35,'Fee Schedule'!$A$5:$B$21,2,FALSE),I35)</f>
        <v>27.5</v>
      </c>
      <c r="K35" t="str">
        <f>INDEX('Entity Map'!$C:$C,MATCH(A35,'Entity Map'!$A:$A,0))</f>
        <v>UKCo</v>
      </c>
      <c r="L35" t="str">
        <f>INDEX('Entity Map'!$D:$D,MATCH(A35,'Entity Map'!$A:$A,0))</f>
        <v>CC-140</v>
      </c>
      <c r="M35">
        <f>ROUND(F35*J35/10000,2)</f>
        <v>19826.26</v>
      </c>
      <c r="N35">
        <f>DAY(EOMONTH(D35,0))</f>
        <v>30</v>
      </c>
      <c r="O35">
        <f>DATEDIF(D35,EOMONTH(D35,0),"d")+1</f>
        <v>30</v>
      </c>
      <c r="P35">
        <f>ROUND(M35*O35/N35,2)</f>
        <v>19826.26</v>
      </c>
      <c r="Q35">
        <f>MAX(P35,'Fee Schedule'!$I$3)</f>
        <v>19826.26</v>
      </c>
      <c r="R35">
        <f>MIN(Q35,'Fee Schedule'!$I$4)</f>
        <v>19826.26</v>
      </c>
      <c r="S35">
        <f>IFERROR(R35*'Fee Schedule'!$I$5,0)</f>
        <v>495.6565</v>
      </c>
      <c r="T35">
        <f>ROUND(R35-S35,2)</f>
        <v>19330.6</v>
      </c>
      <c r="U35">
        <f>IFERROR(VLOOKUP(A35,Overrides!$A:$C,3,FALSE),T35)</f>
        <v>19330.6</v>
      </c>
      <c r="V35" t="str">
        <f>IF(U35=T35,"","OVERRIDE")</f>
        <v/>
      </c>
      <c r="W35" t="str">
        <f>LEFT(A35,3)&amp;"-"&amp;E35</f>
        <v>000-2026-11</v>
      </c>
      <c r="X35">
        <f>COUNTIFS(Positions!$A:$A,A35)</f>
        <v>2</v>
      </c>
      <c r="Y35">
        <f>SUM($U$19:U35)</f>
        <v>1139194.64</v>
      </c>
      <c r="Z35" t="str">
        <f>UPPER(TRIM(INDEX('Entity Map'!$E:$E,MATCH(A35,'Entity Map'!$A:$A,0))))</f>
        <v>EQUITY</v>
      </c>
      <c r="AA35">
        <f>SUMIFS(Positions!$F:$F,Positions!$E:$E,Z35)</f>
        <v>2806311623.609999</v>
      </c>
      <c r="AB35">
        <f>IFERROR(F35/AA35,0)</f>
        <v>0.0025690483442197833</v>
      </c>
      <c r="AC35">
        <f>SUMPRODUCT(Positions!$F$18:$F$185,--(Positions!$A$18:$A$185=A35))</f>
        <v>14419100.46</v>
      </c>
      <c r="AD35" t="str">
        <f>IF(U35&gt;40000,"A",IF(U35&gt;8000,"B","C"))</f>
        <v>B</v>
      </c>
      <c r="AE35">
        <f>COUNTIF('Entity Map'!$A:$A,A35)</f>
        <v>1</v>
      </c>
      <c r="AF35">
        <f>MAX(Positions!$C:$C)</f>
        <v>46354</v>
      </c>
      <c r="AG35">
        <f>YEAR(D35)</f>
        <v>2026</v>
      </c>
      <c r="AH35">
        <f>ROUND(F35*$B$14/10000,2)</f>
        <v>18744.83</v>
      </c>
      <c r="AI35">
        <f>AH35-T35</f>
        <v>-585.7699999999968</v>
      </c>
      <c r="AJ35">
        <f>AI35*$B$15</f>
        <v>-568.1968999999968</v>
      </c>
      <c r="AK35" t="str">
        <f>CONCATENATE(A35," / ",TEXT(AJ35,"0.00"))</f>
        <v>00017 / -568.20</v>
      </c>
    </row>
    <row r="36">
      <c r="A36" t="inlineStr">
        <is>
          <t>00018</t>
        </is>
      </c>
      <c r="B36" t="str">
        <f>INDEX('Entity Map'!$B:$B,MATCH(A36,'Entity Map'!$A:$A,0))</f>
        <v>Client 018 Holdings</v>
      </c>
      <c r="C36">
        <f>INDEX('Entity Map'!$F:$F,MATCH(A36,'Entity Map'!$A:$A,0))</f>
        <v>45369</v>
      </c>
      <c r="D36">
        <f>MAX(DATE(2026,11,1),C36)</f>
        <v>46327</v>
      </c>
      <c r="E36" t="str">
        <f>TEXT(D36,"yyyy-mm")</f>
        <v>2026-11</v>
      </c>
      <c r="F36">
        <f>AVERAGEIFS(Positions!$F:$F,Positions!$A:$A,A36)</f>
        <v>43615754.28</v>
      </c>
      <c r="G36">
        <f>F35</f>
        <v>7209550.23</v>
      </c>
      <c r="H36">
        <f>IF(A36=A35,G36,F36)</f>
        <v>43615754.28</v>
      </c>
      <c r="I36">
        <f>VLOOKUP(F36,'Fee Schedule'!$D$5:$F$8,3,TRUE)</f>
        <v>22</v>
      </c>
      <c r="J36">
        <f>IFERROR(VLOOKUP(A36,'Fee Schedule'!$A$5:$B$21,2,FALSE),I36)</f>
        <v>22</v>
      </c>
      <c r="K36" t="str">
        <f>INDEX('Entity Map'!$C:$C,MATCH(A36,'Entity Map'!$A:$A,0))</f>
        <v>DubCo</v>
      </c>
      <c r="L36" t="str">
        <f>INDEX('Entity Map'!$D:$D,MATCH(A36,'Entity Map'!$A:$A,0))</f>
        <v>CC-150</v>
      </c>
      <c r="M36">
        <f>ROUND(F36*J36/10000,2)</f>
        <v>95954.66</v>
      </c>
      <c r="N36">
        <f>DAY(EOMONTH(D36,0))</f>
        <v>30</v>
      </c>
      <c r="O36">
        <f>DATEDIF(D36,EOMONTH(D36,0),"d")+1</f>
        <v>30</v>
      </c>
      <c r="P36">
        <f>ROUND(M36*O36/N36,2)</f>
        <v>95954.66</v>
      </c>
      <c r="Q36">
        <f>MAX(P36,'Fee Schedule'!$I$3)</f>
        <v>95954.66</v>
      </c>
      <c r="R36">
        <f>MIN(Q36,'Fee Schedule'!$I$4)</f>
        <v>95954.66</v>
      </c>
      <c r="S36">
        <f>IFERROR(R36*'Fee Schedule'!$I$5,0)</f>
        <v>2398.8665</v>
      </c>
      <c r="T36">
        <f>ROUND(R36-S36,2)</f>
        <v>93555.79</v>
      </c>
      <c r="U36">
        <f>IFERROR(VLOOKUP(A36,Overrides!$A:$C,3,FALSE),T36)</f>
        <v>93555.79</v>
      </c>
      <c r="V36" t="str">
        <f>IF(U36=T36,"","OVERRIDE")</f>
        <v/>
      </c>
      <c r="W36" t="str">
        <f>LEFT(A36,3)&amp;"-"&amp;E36</f>
        <v>000-2026-11</v>
      </c>
      <c r="X36">
        <f>COUNTIFS(Positions!$A:$A,A36)</f>
        <v>2</v>
      </c>
      <c r="Y36">
        <f>SUM($U$19:U36)</f>
        <v>1232750.43</v>
      </c>
      <c r="Z36" t="str">
        <f>UPPER(TRIM(INDEX('Entity Map'!$E:$E,MATCH(A36,'Entity Map'!$A:$A,0))))</f>
        <v>FIXED INCOME</v>
      </c>
      <c r="AA36">
        <f>SUMIFS(Positions!$F:$F,Positions!$E:$E,Z36)</f>
        <v>2496645976.4</v>
      </c>
      <c r="AB36">
        <f>IFERROR(F36/AA36,0)</f>
        <v>0.01746973927913122</v>
      </c>
      <c r="AC36">
        <f>SUMPRODUCT(Positions!$F$18:$F$185,--(Positions!$A$18:$A$185=A36))</f>
        <v>87231508.56</v>
      </c>
      <c r="AD36" t="str">
        <f>IF(U36&gt;40000,"A",IF(U36&gt;8000,"B","C"))</f>
        <v>A</v>
      </c>
      <c r="AE36">
        <f>COUNTIF('Entity Map'!$A:$A,A36)</f>
        <v>1</v>
      </c>
      <c r="AF36">
        <f>MAX(Positions!$C:$C)</f>
        <v>46354</v>
      </c>
      <c r="AG36">
        <f>YEAR(D36)</f>
        <v>2026</v>
      </c>
      <c r="AH36">
        <f>ROUND(F36*$B$14/10000,2)</f>
        <v>113400.96</v>
      </c>
      <c r="AI36">
        <f>AH36-T36</f>
        <v>19845.170000000013</v>
      </c>
      <c r="AJ36">
        <f>AI36*$B$15</f>
        <v>19249.814900000012</v>
      </c>
      <c r="AK36" t="str">
        <f>CONCATENATE(A36," / ",TEXT(AJ36,"0.00"))</f>
        <v>00018 / 19249.81</v>
      </c>
    </row>
    <row r="37">
      <c r="A37" t="inlineStr">
        <is>
          <t>00019</t>
        </is>
      </c>
      <c r="B37" t="str">
        <f>INDEX('Entity Map'!$B:$B,MATCH(A37,'Entity Map'!$A:$A,0))</f>
        <v>Client 019 Holdings</v>
      </c>
      <c r="C37">
        <f>INDEX('Entity Map'!$F:$F,MATCH(A37,'Entity Map'!$A:$A,0))</f>
        <v>45370</v>
      </c>
      <c r="D37">
        <f>MAX(DATE(2026,11,1),C37)</f>
        <v>46327</v>
      </c>
      <c r="E37" t="str">
        <f>TEXT(D37,"yyyy-mm")</f>
        <v>2026-11</v>
      </c>
      <c r="F37">
        <f>AVERAGEIFS(Positions!$F:$F,Positions!$A:$A,A37)</f>
        <v>32094298.015</v>
      </c>
      <c r="G37">
        <f>F36</f>
        <v>43615754.28</v>
      </c>
      <c r="H37">
        <f>IF(A37=A36,G37,F37)</f>
        <v>32094298.015</v>
      </c>
      <c r="I37">
        <f>VLOOKUP(F37,'Fee Schedule'!$D$5:$F$8,3,TRUE)</f>
        <v>22</v>
      </c>
      <c r="J37">
        <f>IFERROR(VLOOKUP(A37,'Fee Schedule'!$A$5:$B$21,2,FALSE),I37)</f>
        <v>22</v>
      </c>
      <c r="K37" t="str">
        <f>INDEX('Entity Map'!$C:$C,MATCH(A37,'Entity Map'!$A:$A,0))</f>
        <v>LuxCo</v>
      </c>
      <c r="L37" t="str">
        <f>INDEX('Entity Map'!$D:$D,MATCH(A37,'Entity Map'!$A:$A,0))</f>
        <v>CC-100</v>
      </c>
      <c r="M37">
        <f>ROUND(F37*J37/10000,2)</f>
        <v>70607.46</v>
      </c>
      <c r="N37">
        <f>DAY(EOMONTH(D37,0))</f>
        <v>30</v>
      </c>
      <c r="O37">
        <f>DATEDIF(D37,EOMONTH(D37,0),"d")+1</f>
        <v>30</v>
      </c>
      <c r="P37">
        <f>ROUND(M37*O37/N37,2)</f>
        <v>70607.46</v>
      </c>
      <c r="Q37">
        <f>MAX(P37,'Fee Schedule'!$I$3)</f>
        <v>70607.46</v>
      </c>
      <c r="R37">
        <f>MIN(Q37,'Fee Schedule'!$I$4)</f>
        <v>70607.46</v>
      </c>
      <c r="S37">
        <f>IFERROR(R37*'Fee Schedule'!$I$5,0)</f>
        <v>1765.1865000000003</v>
      </c>
      <c r="T37">
        <f>ROUND(R37-S37,2)</f>
        <v>68842.27</v>
      </c>
      <c r="U37">
        <f>IFERROR(VLOOKUP(A37,Overrides!$A:$C,3,FALSE),T37)</f>
        <v>68842.27</v>
      </c>
      <c r="V37" t="str">
        <f>IF(U37=T37,"","OVERRIDE")</f>
        <v/>
      </c>
      <c r="W37" t="str">
        <f>LEFT(A37,3)&amp;"-"&amp;E37</f>
        <v>000-2026-11</v>
      </c>
      <c r="X37">
        <f>COUNTIFS(Positions!$A:$A,A37)</f>
        <v>2</v>
      </c>
      <c r="Y37">
        <f>SUM($U$19:U37)</f>
        <v>1301592.7</v>
      </c>
      <c r="Z37" t="str">
        <f>UPPER(TRIM(INDEX('Entity Map'!$E:$E,MATCH(A37,'Entity Map'!$A:$A,0))))</f>
        <v>BALANCED</v>
      </c>
      <c r="AA37">
        <f>SUMIFS(Positions!$F:$F,Positions!$E:$E,Z37)</f>
        <v>2420753390.7000003</v>
      </c>
      <c r="AB37">
        <f>IFERROR(F37/AA37,0)</f>
        <v>0.013257979163965731</v>
      </c>
      <c r="AC37">
        <f>SUMPRODUCT(Positions!$F$18:$F$185,--(Positions!$A$18:$A$185=A37))</f>
        <v>64188596.03</v>
      </c>
      <c r="AD37" t="str">
        <f>IF(U37&gt;40000,"A",IF(U37&gt;8000,"B","C"))</f>
        <v>A</v>
      </c>
      <c r="AE37">
        <f>COUNTIF('Entity Map'!$A:$A,A37)</f>
        <v>1</v>
      </c>
      <c r="AF37">
        <f>MAX(Positions!$C:$C)</f>
        <v>46354</v>
      </c>
      <c r="AG37">
        <f>YEAR(D37)</f>
        <v>2026</v>
      </c>
      <c r="AH37">
        <f>ROUND(F37*$B$14/10000,2)</f>
        <v>83445.17</v>
      </c>
      <c r="AI37">
        <f>AH37-T37</f>
        <v>14602.899999999994</v>
      </c>
      <c r="AJ37">
        <f>AI37*$B$15</f>
        <v>14164.812999999995</v>
      </c>
      <c r="AK37" t="str">
        <f>CONCATENATE(A37," / ",TEXT(AJ37,"0.00"))</f>
        <v>00019 / 14164.81</v>
      </c>
    </row>
    <row r="38">
      <c r="A38" t="inlineStr">
        <is>
          <t>00020</t>
        </is>
      </c>
      <c r="B38" t="str">
        <f>INDEX('Entity Map'!$B:$B,MATCH(A38,'Entity Map'!$A:$A,0))</f>
        <v>Client 020 Holdings</v>
      </c>
      <c r="C38">
        <f>INDEX('Entity Map'!$F:$F,MATCH(A38,'Entity Map'!$A:$A,0))</f>
        <v>45371</v>
      </c>
      <c r="D38">
        <f>MAX(DATE(2026,11,1),C38)</f>
        <v>46327</v>
      </c>
      <c r="E38" t="str">
        <f>TEXT(D38,"yyyy-mm")</f>
        <v>2026-11</v>
      </c>
      <c r="F38">
        <f>AVERAGEIFS(Positions!$F:$F,Positions!$A:$A,A38)</f>
        <v>86004391.5</v>
      </c>
      <c r="G38">
        <f>F37</f>
        <v>32094298.015</v>
      </c>
      <c r="H38">
        <f>IF(A38=A37,G38,F38)</f>
        <v>86004391.5</v>
      </c>
      <c r="I38">
        <f>VLOOKUP(F38,'Fee Schedule'!$D$5:$F$8,3,TRUE)</f>
        <v>18.5</v>
      </c>
      <c r="J38">
        <f>IFERROR(VLOOKUP(A38,'Fee Schedule'!$A$5:$B$21,2,FALSE),I38)</f>
        <v>18.5</v>
      </c>
      <c r="K38" t="str">
        <f>INDEX('Entity Map'!$C:$C,MATCH(A38,'Entity Map'!$A:$A,0))</f>
        <v>UKCo</v>
      </c>
      <c r="L38" t="str">
        <f>INDEX('Entity Map'!$D:$D,MATCH(A38,'Entity Map'!$A:$A,0))</f>
        <v>CC-110</v>
      </c>
      <c r="M38">
        <f>ROUND(F38*J38/10000,2)</f>
        <v>159108.12</v>
      </c>
      <c r="N38">
        <f>DAY(EOMONTH(D38,0))</f>
        <v>30</v>
      </c>
      <c r="O38">
        <f>DATEDIF(D38,EOMONTH(D38,0),"d")+1</f>
        <v>30</v>
      </c>
      <c r="P38">
        <f>ROUND(M38*O38/N38,2)</f>
        <v>159108.12</v>
      </c>
      <c r="Q38">
        <f>MAX(P38,'Fee Schedule'!$I$3)</f>
        <v>159108.12</v>
      </c>
      <c r="R38">
        <f>MIN(Q38,'Fee Schedule'!$I$4)</f>
        <v>159108.12</v>
      </c>
      <c r="S38">
        <f>IFERROR(R38*'Fee Schedule'!$I$5,0)</f>
        <v>3977.703</v>
      </c>
      <c r="T38">
        <f>ROUND(R38-S38,2)</f>
        <v>155130.42</v>
      </c>
      <c r="U38">
        <f>IFERROR(VLOOKUP(A38,Overrides!$A:$C,3,FALSE),T38)</f>
        <v>155130.42</v>
      </c>
      <c r="V38" t="str">
        <f>IF(U38=T38,"","OVERRIDE")</f>
        <v/>
      </c>
      <c r="W38" t="str">
        <f>LEFT(A38,3)&amp;"-"&amp;E38</f>
        <v>000-2026-11</v>
      </c>
      <c r="X38">
        <f>COUNTIFS(Positions!$A:$A,A38)</f>
        <v>2</v>
      </c>
      <c r="Y38">
        <f>SUM($U$19:U38)</f>
        <v>1456723.12</v>
      </c>
      <c r="Z38" t="str">
        <f>UPPER(TRIM(INDEX('Entity Map'!$E:$E,MATCH(A38,'Entity Map'!$A:$A,0))))</f>
        <v>EQUITY</v>
      </c>
      <c r="AA38">
        <f>SUMIFS(Positions!$F:$F,Positions!$E:$E,Z38)</f>
        <v>2806311623.609999</v>
      </c>
      <c r="AB38">
        <f>IFERROR(F38/AA38,0)</f>
        <v>0.030646771647321613</v>
      </c>
      <c r="AC38">
        <f>SUMPRODUCT(Positions!$F$18:$F$185,--(Positions!$A$18:$A$185=A38))</f>
        <v>172008783</v>
      </c>
      <c r="AD38" t="str">
        <f>IF(U38&gt;40000,"A",IF(U38&gt;8000,"B","C"))</f>
        <v>A</v>
      </c>
      <c r="AE38">
        <f>COUNTIF('Entity Map'!$A:$A,A38)</f>
        <v>1</v>
      </c>
      <c r="AF38">
        <f>MAX(Positions!$C:$C)</f>
        <v>46354</v>
      </c>
      <c r="AG38">
        <f>YEAR(D38)</f>
        <v>2026</v>
      </c>
      <c r="AH38">
        <f>ROUND(F38*$B$14/10000,2)</f>
        <v>223611.42</v>
      </c>
      <c r="AI38">
        <f>AH38-T38</f>
        <v>68481</v>
      </c>
      <c r="AJ38">
        <f>AI38*$B$15</f>
        <v>66426.56999999999</v>
      </c>
      <c r="AK38" t="str">
        <f>CONCATENATE(A38," / ",TEXT(AJ38,"0.00"))</f>
        <v>00020 / 66426.57</v>
      </c>
    </row>
    <row r="39">
      <c r="A39" t="inlineStr">
        <is>
          <t>00021</t>
        </is>
      </c>
      <c r="B39" t="str">
        <f>INDEX('Entity Map'!$B:$B,MATCH(A39,'Entity Map'!$A:$A,0))</f>
        <v>Client 021 Holdings</v>
      </c>
      <c r="C39">
        <f>INDEX('Entity Map'!$F:$F,MATCH(A39,'Entity Map'!$A:$A,0))</f>
        <v>45372</v>
      </c>
      <c r="D39">
        <f>MAX(DATE(2026,11,1),C39)</f>
        <v>46327</v>
      </c>
      <c r="E39" t="str">
        <f>TEXT(D39,"yyyy-mm")</f>
        <v>2026-11</v>
      </c>
      <c r="F39">
        <f>AVERAGEIFS(Positions!$F:$F,Positions!$A:$A,A39)</f>
        <v>78513351.24000001</v>
      </c>
      <c r="G39">
        <f>F38</f>
        <v>86004391.5</v>
      </c>
      <c r="H39">
        <f>IF(A39=A38,G39,F39)</f>
        <v>78513351.24000001</v>
      </c>
      <c r="I39">
        <f>VLOOKUP(F39,'Fee Schedule'!$D$5:$F$8,3,TRUE)</f>
        <v>18.5</v>
      </c>
      <c r="J39">
        <f>IFERROR(VLOOKUP(A39,'Fee Schedule'!$A$5:$B$21,2,FALSE),I39)</f>
        <v>23</v>
      </c>
      <c r="K39" t="str">
        <f>INDEX('Entity Map'!$C:$C,MATCH(A39,'Entity Map'!$A:$A,0))</f>
        <v>DubCo</v>
      </c>
      <c r="L39" t="str">
        <f>INDEX('Entity Map'!$D:$D,MATCH(A39,'Entity Map'!$A:$A,0))</f>
        <v>CC-120</v>
      </c>
      <c r="M39">
        <f>ROUND(F39*J39/10000,2)</f>
        <v>180580.71</v>
      </c>
      <c r="N39">
        <f>DAY(EOMONTH(D39,0))</f>
        <v>30</v>
      </c>
      <c r="O39">
        <f>DATEDIF(D39,EOMONTH(D39,0),"d")+1</f>
        <v>30</v>
      </c>
      <c r="P39">
        <f>ROUND(M39*O39/N39,2)</f>
        <v>180580.71</v>
      </c>
      <c r="Q39">
        <f>MAX(P39,'Fee Schedule'!$I$3)</f>
        <v>180580.71</v>
      </c>
      <c r="R39">
        <f>MIN(Q39,'Fee Schedule'!$I$4)</f>
        <v>180580.71</v>
      </c>
      <c r="S39">
        <f>IFERROR(R39*'Fee Schedule'!$I$5,0)</f>
        <v>4514.51775</v>
      </c>
      <c r="T39">
        <f>ROUND(R39-S39,2)</f>
        <v>176066.19</v>
      </c>
      <c r="U39">
        <f>IFERROR(VLOOKUP(A39,Overrides!$A:$C,3,FALSE),T39)</f>
        <v>176066.19</v>
      </c>
      <c r="V39" t="str">
        <f>IF(U39=T39,"","OVERRIDE")</f>
        <v/>
      </c>
      <c r="W39" t="str">
        <f>LEFT(A39,3)&amp;"-"&amp;E39</f>
        <v>000-2026-11</v>
      </c>
      <c r="X39">
        <f>COUNTIFS(Positions!$A:$A,A39)</f>
        <v>2</v>
      </c>
      <c r="Y39">
        <f>SUM($U$19:U39)</f>
        <v>1632789.31</v>
      </c>
      <c r="Z39" t="str">
        <f>UPPER(TRIM(INDEX('Entity Map'!$E:$E,MATCH(A39,'Entity Map'!$A:$A,0))))</f>
        <v>FIXED INCOME</v>
      </c>
      <c r="AA39">
        <f>SUMIFS(Positions!$F:$F,Positions!$E:$E,Z39)</f>
        <v>2496645976.4</v>
      </c>
      <c r="AB39">
        <f>IFERROR(F39/AA39,0)</f>
        <v>0.031447530800186224</v>
      </c>
      <c r="AC39">
        <f>SUMPRODUCT(Positions!$F$18:$F$185,--(Positions!$A$18:$A$185=A39))</f>
        <v>157026702.48000002</v>
      </c>
      <c r="AD39" t="str">
        <f>IF(U39&gt;40000,"A",IF(U39&gt;8000,"B","C"))</f>
        <v>A</v>
      </c>
      <c r="AE39">
        <f>COUNTIF('Entity Map'!$A:$A,A39)</f>
        <v>1</v>
      </c>
      <c r="AF39">
        <f>MAX(Positions!$C:$C)</f>
        <v>46354</v>
      </c>
      <c r="AG39">
        <f>YEAR(D39)</f>
        <v>2026</v>
      </c>
      <c r="AH39">
        <f>ROUND(F39*$B$14/10000,2)</f>
        <v>204134.71</v>
      </c>
      <c r="AI39">
        <f>AH39-T39</f>
        <v>28068.51999999999</v>
      </c>
      <c r="AJ39">
        <f>AI39*$B$15</f>
        <v>27226.46439999999</v>
      </c>
      <c r="AK39" t="str">
        <f>CONCATENATE(A39," / ",TEXT(AJ39,"0.00"))</f>
        <v>00021 / 27226.46</v>
      </c>
    </row>
    <row r="40">
      <c r="A40" t="inlineStr">
        <is>
          <t>00022</t>
        </is>
      </c>
      <c r="B40" t="str">
        <f>INDEX('Entity Map'!$B:$B,MATCH(A40,'Entity Map'!$A:$A,0))</f>
        <v>Client 022 Holdings</v>
      </c>
      <c r="C40">
        <f>INDEX('Entity Map'!$F:$F,MATCH(A40,'Entity Map'!$A:$A,0))</f>
        <v>45373</v>
      </c>
      <c r="D40">
        <f>MAX(DATE(2026,11,1),C40)</f>
        <v>46327</v>
      </c>
      <c r="E40" t="str">
        <f>TEXT(D40,"yyyy-mm")</f>
        <v>2026-11</v>
      </c>
      <c r="F40">
        <f>AVERAGEIFS(Positions!$F:$F,Positions!$A:$A,A40)</f>
        <v>43583922.14</v>
      </c>
      <c r="G40">
        <f>F39</f>
        <v>78513351.24000001</v>
      </c>
      <c r="H40">
        <f>IF(A40=A39,G40,F40)</f>
        <v>43583922.14</v>
      </c>
      <c r="I40">
        <f>VLOOKUP(F40,'Fee Schedule'!$D$5:$F$8,3,TRUE)</f>
        <v>22</v>
      </c>
      <c r="J40">
        <f>IFERROR(VLOOKUP(A40,'Fee Schedule'!$A$5:$B$21,2,FALSE),I40)</f>
        <v>22</v>
      </c>
      <c r="K40" t="str">
        <f>INDEX('Entity Map'!$C:$C,MATCH(A40,'Entity Map'!$A:$A,0))</f>
        <v>LuxCo</v>
      </c>
      <c r="L40" t="str">
        <f>INDEX('Entity Map'!$D:$D,MATCH(A40,'Entity Map'!$A:$A,0))</f>
        <v>CC-130</v>
      </c>
      <c r="M40">
        <f>ROUND(F40*J40/10000,2)</f>
        <v>95884.63</v>
      </c>
      <c r="N40">
        <f>DAY(EOMONTH(D40,0))</f>
        <v>30</v>
      </c>
      <c r="O40">
        <f>DATEDIF(D40,EOMONTH(D40,0),"d")+1</f>
        <v>30</v>
      </c>
      <c r="P40">
        <f>ROUND(M40*O40/N40,2)</f>
        <v>95884.63</v>
      </c>
      <c r="Q40">
        <f>MAX(P40,'Fee Schedule'!$I$3)</f>
        <v>95884.63</v>
      </c>
      <c r="R40">
        <f>MIN(Q40,'Fee Schedule'!$I$4)</f>
        <v>95884.63</v>
      </c>
      <c r="S40">
        <f>IFERROR(R40*'Fee Schedule'!$I$5,0)</f>
        <v>2397.1157500000004</v>
      </c>
      <c r="T40">
        <f>ROUND(R40-S40,2)</f>
        <v>93487.51</v>
      </c>
      <c r="U40">
        <f>IFERROR(VLOOKUP(A40,Overrides!$A:$C,3,FALSE),T40)</f>
        <v>93487.51</v>
      </c>
      <c r="V40" t="str">
        <f>IF(U40=T40,"","OVERRIDE")</f>
        <v/>
      </c>
      <c r="W40" t="str">
        <f>LEFT(A40,3)&amp;"-"&amp;E40</f>
        <v>000-2026-11</v>
      </c>
      <c r="X40">
        <f>COUNTIFS(Positions!$A:$A,A40)</f>
        <v>2</v>
      </c>
      <c r="Y40">
        <f>SUM($U$19:U40)</f>
        <v>1726276.82</v>
      </c>
      <c r="Z40" t="str">
        <f>UPPER(TRIM(INDEX('Entity Map'!$E:$E,MATCH(A40,'Entity Map'!$A:$A,0))))</f>
        <v>BALANCED</v>
      </c>
      <c r="AA40">
        <f>SUMIFS(Positions!$F:$F,Positions!$E:$E,Z40)</f>
        <v>2420753390.7000003</v>
      </c>
      <c r="AB40">
        <f>IFERROR(F40/AA40,0)</f>
        <v>0.018004280116859405</v>
      </c>
      <c r="AC40">
        <f>SUMPRODUCT(Positions!$F$18:$F$185,--(Positions!$A$18:$A$185=A40))</f>
        <v>87167844.28</v>
      </c>
      <c r="AD40" t="str">
        <f>IF(U40&gt;40000,"A",IF(U40&gt;8000,"B","C"))</f>
        <v>A</v>
      </c>
      <c r="AE40">
        <f>COUNTIF('Entity Map'!$A:$A,A40)</f>
        <v>1</v>
      </c>
      <c r="AF40">
        <f>MAX(Positions!$C:$C)</f>
        <v>46354</v>
      </c>
      <c r="AG40">
        <f>YEAR(D40)</f>
        <v>2026</v>
      </c>
      <c r="AH40">
        <f>ROUND(F40*$B$14/10000,2)</f>
        <v>113318.2</v>
      </c>
      <c r="AI40">
        <f>AH40-T40</f>
        <v>19830.690000000002</v>
      </c>
      <c r="AJ40">
        <f>AI40*$B$15</f>
        <v>19235.7693</v>
      </c>
      <c r="AK40" t="str">
        <f>CONCATENATE(A40," / ",TEXT(AJ40,"0.00"))</f>
        <v>00022 / 19235.77</v>
      </c>
    </row>
    <row r="41">
      <c r="A41" t="inlineStr">
        <is>
          <t>00023</t>
        </is>
      </c>
      <c r="B41" t="str">
        <f>INDEX('Entity Map'!$B:$B,MATCH(A41,'Entity Map'!$A:$A,0))</f>
        <v>Client 023 Holdings</v>
      </c>
      <c r="C41">
        <f>INDEX('Entity Map'!$F:$F,MATCH(A41,'Entity Map'!$A:$A,0))</f>
        <v>45374</v>
      </c>
      <c r="D41">
        <f>MAX(DATE(2026,11,1),C41)</f>
        <v>46327</v>
      </c>
      <c r="E41" t="str">
        <f>TEXT(D41,"yyyy-mm")</f>
        <v>2026-11</v>
      </c>
      <c r="F41">
        <f>AVERAGEIFS(Positions!$F:$F,Positions!$A:$A,A41)</f>
        <v>43817609.4</v>
      </c>
      <c r="G41">
        <f>F40</f>
        <v>43583922.14</v>
      </c>
      <c r="H41">
        <f>IF(A41=A40,G41,F41)</f>
        <v>43817609.4</v>
      </c>
      <c r="I41">
        <f>VLOOKUP(F41,'Fee Schedule'!$D$5:$F$8,3,TRUE)</f>
        <v>22</v>
      </c>
      <c r="J41">
        <f>IFERROR(VLOOKUP(A41,'Fee Schedule'!$A$5:$B$21,2,FALSE),I41)</f>
        <v>22</v>
      </c>
      <c r="K41" t="str">
        <f>INDEX('Entity Map'!$C:$C,MATCH(A41,'Entity Map'!$A:$A,0))</f>
        <v>UKCo</v>
      </c>
      <c r="L41" t="str">
        <f>INDEX('Entity Map'!$D:$D,MATCH(A41,'Entity Map'!$A:$A,0))</f>
        <v>CC-140</v>
      </c>
      <c r="M41">
        <f>ROUND(F41*J41/10000,2)</f>
        <v>96398.74</v>
      </c>
      <c r="N41">
        <f>DAY(EOMONTH(D41,0))</f>
        <v>30</v>
      </c>
      <c r="O41">
        <f>DATEDIF(D41,EOMONTH(D41,0),"d")+1</f>
        <v>30</v>
      </c>
      <c r="P41">
        <f>ROUND(M41*O41/N41,2)</f>
        <v>96398.74</v>
      </c>
      <c r="Q41">
        <f>MAX(P41,'Fee Schedule'!$I$3)</f>
        <v>96398.74</v>
      </c>
      <c r="R41">
        <f>MIN(Q41,'Fee Schedule'!$I$4)</f>
        <v>96398.74</v>
      </c>
      <c r="S41">
        <f>IFERROR(R41*'Fee Schedule'!$I$5,0)</f>
        <v>2409.9685000000004</v>
      </c>
      <c r="T41">
        <f>ROUND(R41-S41,2)</f>
        <v>93988.77</v>
      </c>
      <c r="U41">
        <f>IFERROR(VLOOKUP(A41,Overrides!$A:$C,3,FALSE),T41)</f>
        <v>93988.77</v>
      </c>
      <c r="V41" t="str">
        <f>IF(U41=T41,"","OVERRIDE")</f>
        <v/>
      </c>
      <c r="W41" t="str">
        <f>LEFT(A41,3)&amp;"-"&amp;E41</f>
        <v>000-2026-11</v>
      </c>
      <c r="X41">
        <f>COUNTIFS(Positions!$A:$A,A41)</f>
        <v>2</v>
      </c>
      <c r="Y41">
        <f>SUM($U$19:U41)</f>
        <v>1820265.59</v>
      </c>
      <c r="Z41" t="str">
        <f>UPPER(TRIM(INDEX('Entity Map'!$E:$E,MATCH(A41,'Entity Map'!$A:$A,0))))</f>
        <v>EQUITY</v>
      </c>
      <c r="AA41">
        <f>SUMIFS(Positions!$F:$F,Positions!$E:$E,Z41)</f>
        <v>2806311623.609999</v>
      </c>
      <c r="AB41">
        <f>IFERROR(F41/AA41,0)</f>
        <v>0.015613950008742668</v>
      </c>
      <c r="AC41">
        <f>SUMPRODUCT(Positions!$F$18:$F$185,--(Positions!$A$18:$A$185=A41))</f>
        <v>87635218.8</v>
      </c>
      <c r="AD41" t="str">
        <f>IF(U41&gt;40000,"A",IF(U41&gt;8000,"B","C"))</f>
        <v>A</v>
      </c>
      <c r="AE41">
        <f>COUNTIF('Entity Map'!$A:$A,A41)</f>
        <v>1</v>
      </c>
      <c r="AF41">
        <f>MAX(Positions!$C:$C)</f>
        <v>46354</v>
      </c>
      <c r="AG41">
        <f>YEAR(D41)</f>
        <v>2026</v>
      </c>
      <c r="AH41">
        <f>ROUND(F41*$B$14/10000,2)</f>
        <v>113925.78</v>
      </c>
      <c r="AI41">
        <f>AH41-T41</f>
        <v>19937.009999999995</v>
      </c>
      <c r="AJ41">
        <f>AI41*$B$15</f>
        <v>19338.899699999994</v>
      </c>
      <c r="AK41" t="str">
        <f>CONCATENATE(A41," / ",TEXT(AJ41,"0.00"))</f>
        <v>00023 / 19338.90</v>
      </c>
    </row>
    <row r="42">
      <c r="A42" t="inlineStr">
        <is>
          <t>00024</t>
        </is>
      </c>
      <c r="B42" t="str">
        <f>INDEX('Entity Map'!$B:$B,MATCH(A42,'Entity Map'!$A:$A,0))</f>
        <v>Client 024 Holdings</v>
      </c>
      <c r="C42">
        <f>INDEX('Entity Map'!$F:$F,MATCH(A42,'Entity Map'!$A:$A,0))</f>
        <v>45375</v>
      </c>
      <c r="D42">
        <f>MAX(DATE(2026,11,1),C42)</f>
        <v>46327</v>
      </c>
      <c r="E42" t="str">
        <f>TEXT(D42,"yyyy-mm")</f>
        <v>2026-11</v>
      </c>
      <c r="F42">
        <f>AVERAGEIFS(Positions!$F:$F,Positions!$A:$A,A42)</f>
        <v>54513761.36</v>
      </c>
      <c r="G42">
        <f>F41</f>
        <v>43817609.4</v>
      </c>
      <c r="H42">
        <f>IF(A42=A41,G42,F42)</f>
        <v>54513761.36</v>
      </c>
      <c r="I42">
        <f>VLOOKUP(F42,'Fee Schedule'!$D$5:$F$8,3,TRUE)</f>
        <v>18.5</v>
      </c>
      <c r="J42">
        <f>IFERROR(VLOOKUP(A42,'Fee Schedule'!$A$5:$B$21,2,FALSE),I42)</f>
        <v>18.5</v>
      </c>
      <c r="K42" t="str">
        <f>INDEX('Entity Map'!$C:$C,MATCH(A42,'Entity Map'!$A:$A,0))</f>
        <v>DubCo</v>
      </c>
      <c r="L42" t="str">
        <f>INDEX('Entity Map'!$D:$D,MATCH(A42,'Entity Map'!$A:$A,0))</f>
        <v>CC-150</v>
      </c>
      <c r="M42">
        <f>ROUND(F42*J42/10000,2)</f>
        <v>100850.46</v>
      </c>
      <c r="N42">
        <f>DAY(EOMONTH(D42,0))</f>
        <v>30</v>
      </c>
      <c r="O42">
        <f>DATEDIF(D42,EOMONTH(D42,0),"d")+1</f>
        <v>30</v>
      </c>
      <c r="P42">
        <f>ROUND(M42*O42/N42,2)</f>
        <v>100850.46</v>
      </c>
      <c r="Q42">
        <f>MAX(P42,'Fee Schedule'!$I$3)</f>
        <v>100850.46</v>
      </c>
      <c r="R42">
        <f>MIN(Q42,'Fee Schedule'!$I$4)</f>
        <v>100850.46</v>
      </c>
      <c r="S42">
        <f>IFERROR(R42*'Fee Schedule'!$I$5,0)</f>
        <v>2521.2615000000005</v>
      </c>
      <c r="T42">
        <f>ROUND(R42-S42,2)</f>
        <v>98329.2</v>
      </c>
      <c r="U42">
        <f>IFERROR(VLOOKUP(A42,Overrides!$A:$C,3,FALSE),T42)</f>
        <v>98329.2</v>
      </c>
      <c r="V42" t="str">
        <f>IF(U42=T42,"","OVERRIDE")</f>
        <v/>
      </c>
      <c r="W42" t="str">
        <f>LEFT(A42,3)&amp;"-"&amp;E42</f>
        <v>000-2026-11</v>
      </c>
      <c r="X42">
        <f>COUNTIFS(Positions!$A:$A,A42)</f>
        <v>2</v>
      </c>
      <c r="Y42">
        <f>SUM($U$19:U42)</f>
        <v>1918594.79</v>
      </c>
      <c r="Z42" t="str">
        <f>UPPER(TRIM(INDEX('Entity Map'!$E:$E,MATCH(A42,'Entity Map'!$A:$A,0))))</f>
        <v>FIXED INCOME</v>
      </c>
      <c r="AA42">
        <f>SUMIFS(Positions!$F:$F,Positions!$E:$E,Z42)</f>
        <v>2496645976.4</v>
      </c>
      <c r="AB42">
        <f>IFERROR(F42/AA42,0)</f>
        <v>0.021834798315540624</v>
      </c>
      <c r="AC42">
        <f>SUMPRODUCT(Positions!$F$18:$F$185,--(Positions!$A$18:$A$185=A42))</f>
        <v>109027522.72</v>
      </c>
      <c r="AD42" t="str">
        <f>IF(U42&gt;40000,"A",IF(U42&gt;8000,"B","C"))</f>
        <v>A</v>
      </c>
      <c r="AE42">
        <f>COUNTIF('Entity Map'!$A:$A,A42)</f>
        <v>1</v>
      </c>
      <c r="AF42">
        <f>MAX(Positions!$C:$C)</f>
        <v>46354</v>
      </c>
      <c r="AG42">
        <f>YEAR(D42)</f>
        <v>2026</v>
      </c>
      <c r="AH42">
        <f>ROUND(F42*$B$14/10000,2)</f>
        <v>141735.78</v>
      </c>
      <c r="AI42">
        <f>AH42-T42</f>
        <v>43406.58</v>
      </c>
      <c r="AJ42">
        <f>AI42*$B$15</f>
        <v>42104.3826</v>
      </c>
      <c r="AK42" t="str">
        <f>CONCATENATE(A42," / ",TEXT(AJ42,"0.00"))</f>
        <v>00024 / 42104.38</v>
      </c>
    </row>
    <row r="43">
      <c r="A43" t="inlineStr">
        <is>
          <t>00025</t>
        </is>
      </c>
      <c r="B43" t="str">
        <f>INDEX('Entity Map'!$B:$B,MATCH(A43,'Entity Map'!$A:$A,0))</f>
        <v>Client 025 Holdings</v>
      </c>
      <c r="C43">
        <f>INDEX('Entity Map'!$F:$F,MATCH(A43,'Entity Map'!$A:$A,0))</f>
        <v>45376</v>
      </c>
      <c r="D43">
        <f>MAX(DATE(2026,11,1),C43)</f>
        <v>46327</v>
      </c>
      <c r="E43" t="str">
        <f>TEXT(D43,"yyyy-mm")</f>
        <v>2026-11</v>
      </c>
      <c r="F43">
        <f>AVERAGEIFS(Positions!$F:$F,Positions!$A:$A,A43)</f>
        <v>28677481.02</v>
      </c>
      <c r="G43">
        <f>F42</f>
        <v>54513761.36</v>
      </c>
      <c r="H43">
        <f>IF(A43=A42,G43,F43)</f>
        <v>28677481.02</v>
      </c>
      <c r="I43">
        <f>VLOOKUP(F43,'Fee Schedule'!$D$5:$F$8,3,TRUE)</f>
        <v>22</v>
      </c>
      <c r="J43">
        <f>IFERROR(VLOOKUP(A43,'Fee Schedule'!$A$5:$B$21,2,FALSE),I43)</f>
        <v>22</v>
      </c>
      <c r="K43" t="str">
        <f>INDEX('Entity Map'!$C:$C,MATCH(A43,'Entity Map'!$A:$A,0))</f>
        <v>LuxCo</v>
      </c>
      <c r="L43" t="str">
        <f>INDEX('Entity Map'!$D:$D,MATCH(A43,'Entity Map'!$A:$A,0))</f>
        <v>CC-100</v>
      </c>
      <c r="M43">
        <f>ROUND(F43*J43/10000,2)</f>
        <v>63090.46</v>
      </c>
      <c r="N43">
        <f>DAY(EOMONTH(D43,0))</f>
        <v>30</v>
      </c>
      <c r="O43">
        <f>DATEDIF(D43,EOMONTH(D43,0),"d")+1</f>
        <v>30</v>
      </c>
      <c r="P43">
        <f>ROUND(M43*O43/N43,2)</f>
        <v>63090.46</v>
      </c>
      <c r="Q43">
        <f>MAX(P43,'Fee Schedule'!$I$3)</f>
        <v>63090.46</v>
      </c>
      <c r="R43">
        <f>MIN(Q43,'Fee Schedule'!$I$4)</f>
        <v>63090.46</v>
      </c>
      <c r="S43">
        <f>IFERROR(R43*'Fee Schedule'!$I$5,0)</f>
        <v>1577.2615</v>
      </c>
      <c r="T43">
        <f>ROUND(R43-S43,2)</f>
        <v>61513.2</v>
      </c>
      <c r="U43">
        <f>IFERROR(VLOOKUP(A43,Overrides!$A:$C,3,FALSE),T43)</f>
        <v>61513.2</v>
      </c>
      <c r="V43" t="str">
        <f>IF(U43=T43,"","OVERRIDE")</f>
        <v/>
      </c>
      <c r="W43" t="str">
        <f>LEFT(A43,3)&amp;"-"&amp;E43</f>
        <v>000-2026-11</v>
      </c>
      <c r="X43">
        <f>COUNTIFS(Positions!$A:$A,A43)</f>
        <v>2</v>
      </c>
      <c r="Y43">
        <f>SUM($U$19:U43)</f>
        <v>1980107.99</v>
      </c>
      <c r="Z43" t="str">
        <f>UPPER(TRIM(INDEX('Entity Map'!$E:$E,MATCH(A43,'Entity Map'!$A:$A,0))))</f>
        <v>BALANCED</v>
      </c>
      <c r="AA43">
        <f>SUMIFS(Positions!$F:$F,Positions!$E:$E,Z43)</f>
        <v>2420753390.7000003</v>
      </c>
      <c r="AB43">
        <f>IFERROR(F43/AA43,0)</f>
        <v>0.011846510730986703</v>
      </c>
      <c r="AC43">
        <f>SUMPRODUCT(Positions!$F$18:$F$185,--(Positions!$A$18:$A$185=A43))</f>
        <v>57354962.04</v>
      </c>
      <c r="AD43" t="str">
        <f>IF(U43&gt;40000,"A",IF(U43&gt;8000,"B","C"))</f>
        <v>A</v>
      </c>
      <c r="AE43">
        <f>COUNTIF('Entity Map'!$A:$A,A43)</f>
        <v>1</v>
      </c>
      <c r="AF43">
        <f>MAX(Positions!$C:$C)</f>
        <v>46354</v>
      </c>
      <c r="AG43">
        <f>YEAR(D43)</f>
        <v>2026</v>
      </c>
      <c r="AH43">
        <f>ROUND(F43*$B$14/10000,2)</f>
        <v>74561.45</v>
      </c>
      <c r="AI43">
        <f>AH43-T43</f>
        <v>13048.25</v>
      </c>
      <c r="AJ43">
        <f>AI43*$B$15</f>
        <v>12656.8025</v>
      </c>
      <c r="AK43" t="str">
        <f>CONCATENATE(A43," / ",TEXT(AJ43,"0.00"))</f>
        <v>00025 / 12656.80</v>
      </c>
    </row>
    <row r="44">
      <c r="A44" t="inlineStr">
        <is>
          <t>00026</t>
        </is>
      </c>
      <c r="B44" t="str">
        <f>INDEX('Entity Map'!$B:$B,MATCH(A44,'Entity Map'!$A:$A,0))</f>
        <v>Client 026 Holdings</v>
      </c>
      <c r="C44">
        <f>INDEX('Entity Map'!$F:$F,MATCH(A44,'Entity Map'!$A:$A,0))</f>
        <v>45377</v>
      </c>
      <c r="D44">
        <f>MAX(DATE(2026,11,1),C44)</f>
        <v>46327</v>
      </c>
      <c r="E44" t="str">
        <f>TEXT(D44,"yyyy-mm")</f>
        <v>2026-11</v>
      </c>
      <c r="F44">
        <f>AVERAGEIFS(Positions!$F:$F,Positions!$A:$A,A44)</f>
        <v>69271524.53</v>
      </c>
      <c r="G44">
        <f>F43</f>
        <v>28677481.02</v>
      </c>
      <c r="H44">
        <f>IF(A44=A43,G44,F44)</f>
        <v>69271524.53</v>
      </c>
      <c r="I44">
        <f>VLOOKUP(F44,'Fee Schedule'!$D$5:$F$8,3,TRUE)</f>
        <v>18.5</v>
      </c>
      <c r="J44">
        <f>IFERROR(VLOOKUP(A44,'Fee Schedule'!$A$5:$B$21,2,FALSE),I44)</f>
        <v>30.5</v>
      </c>
      <c r="K44" t="str">
        <f>INDEX('Entity Map'!$C:$C,MATCH(A44,'Entity Map'!$A:$A,0))</f>
        <v>UKCo</v>
      </c>
      <c r="L44" t="str">
        <f>INDEX('Entity Map'!$D:$D,MATCH(A44,'Entity Map'!$A:$A,0))</f>
        <v>CC-110</v>
      </c>
      <c r="M44">
        <f>ROUND(F44*J44/10000,2)</f>
        <v>211278.15</v>
      </c>
      <c r="N44">
        <f>DAY(EOMONTH(D44,0))</f>
        <v>30</v>
      </c>
      <c r="O44">
        <f>DATEDIF(D44,EOMONTH(D44,0),"d")+1</f>
        <v>30</v>
      </c>
      <c r="P44">
        <f>ROUND(M44*O44/N44,2)</f>
        <v>211278.15</v>
      </c>
      <c r="Q44">
        <f>MAX(P44,'Fee Schedule'!$I$3)</f>
        <v>211278.15</v>
      </c>
      <c r="R44">
        <f>MIN(Q44,'Fee Schedule'!$I$4)</f>
        <v>211278.15</v>
      </c>
      <c r="S44">
        <f>IFERROR(R44*'Fee Schedule'!$I$5,0)</f>
        <v>5281.953750000001</v>
      </c>
      <c r="T44">
        <f>ROUND(R44-S44,2)</f>
        <v>205996.2</v>
      </c>
      <c r="U44">
        <f>IFERROR(VLOOKUP(A44,Overrides!$A:$C,3,FALSE),T44)</f>
        <v>205996.2</v>
      </c>
      <c r="V44" t="str">
        <f>IF(U44=T44,"","OVERRIDE")</f>
        <v/>
      </c>
      <c r="W44" t="str">
        <f>LEFT(A44,3)&amp;"-"&amp;E44</f>
        <v>000-2026-11</v>
      </c>
      <c r="X44">
        <f>COUNTIFS(Positions!$A:$A,A44)</f>
        <v>2</v>
      </c>
      <c r="Y44">
        <f>SUM($U$19:U44)</f>
        <v>2186104.19</v>
      </c>
      <c r="Z44" t="str">
        <f>UPPER(TRIM(INDEX('Entity Map'!$E:$E,MATCH(A44,'Entity Map'!$A:$A,0))))</f>
        <v>EQUITY</v>
      </c>
      <c r="AA44">
        <f>SUMIFS(Positions!$F:$F,Positions!$E:$E,Z44)</f>
        <v>2806311623.609999</v>
      </c>
      <c r="AB44">
        <f>IFERROR(F44/AA44,0)</f>
        <v>0.02468418829441689</v>
      </c>
      <c r="AC44">
        <f>SUMPRODUCT(Positions!$F$18:$F$185,--(Positions!$A$18:$A$185=A44))</f>
        <v>138543049.06</v>
      </c>
      <c r="AD44" t="str">
        <f>IF(U44&gt;40000,"A",IF(U44&gt;8000,"B","C"))</f>
        <v>A</v>
      </c>
      <c r="AE44">
        <f>COUNTIF('Entity Map'!$A:$A,A44)</f>
        <v>1</v>
      </c>
      <c r="AF44">
        <f>MAX(Positions!$C:$C)</f>
        <v>46354</v>
      </c>
      <c r="AG44">
        <f>YEAR(D44)</f>
        <v>2026</v>
      </c>
      <c r="AH44">
        <f>ROUND(F44*$B$14/10000,2)</f>
        <v>180105.96</v>
      </c>
      <c r="AI44">
        <f>AH44-T44</f>
        <v>-25890.24000000002</v>
      </c>
      <c r="AJ44">
        <f>AI44*$B$15</f>
        <v>-25113.53280000002</v>
      </c>
      <c r="AK44" t="str">
        <f>CONCATENATE(A44," / ",TEXT(AJ44,"0.00"))</f>
        <v>00026 / -25113.53</v>
      </c>
    </row>
    <row r="45">
      <c r="A45" t="inlineStr">
        <is>
          <t>00027</t>
        </is>
      </c>
      <c r="B45" t="str">
        <f>INDEX('Entity Map'!$B:$B,MATCH(A45,'Entity Map'!$A:$A,0))</f>
        <v>Client 027 Holdings</v>
      </c>
      <c r="C45">
        <f>INDEX('Entity Map'!$F:$F,MATCH(A45,'Entity Map'!$A:$A,0))</f>
        <v>45378</v>
      </c>
      <c r="D45">
        <f>MAX(DATE(2026,11,1),C45)</f>
        <v>46327</v>
      </c>
      <c r="E45" t="str">
        <f>TEXT(D45,"yyyy-mm")</f>
        <v>2026-11</v>
      </c>
      <c r="F45">
        <f>AVERAGEIFS(Positions!$F:$F,Positions!$A:$A,A45)</f>
        <v>35213125.775</v>
      </c>
      <c r="G45">
        <f>F44</f>
        <v>69271524.53</v>
      </c>
      <c r="H45">
        <f>IF(A45=A44,G45,F45)</f>
        <v>35213125.775</v>
      </c>
      <c r="I45">
        <f>VLOOKUP(F45,'Fee Schedule'!$D$5:$F$8,3,TRUE)</f>
        <v>22</v>
      </c>
      <c r="J45">
        <f>IFERROR(VLOOKUP(A45,'Fee Schedule'!$A$5:$B$21,2,FALSE),I45)</f>
        <v>22</v>
      </c>
      <c r="K45" t="str">
        <f>INDEX('Entity Map'!$C:$C,MATCH(A45,'Entity Map'!$A:$A,0))</f>
        <v>DubCo</v>
      </c>
      <c r="L45" t="str">
        <f>INDEX('Entity Map'!$D:$D,MATCH(A45,'Entity Map'!$A:$A,0))</f>
        <v>CC-120</v>
      </c>
      <c r="M45">
        <f>ROUND(F45*J45/10000,2)</f>
        <v>77468.88</v>
      </c>
      <c r="N45">
        <f>DAY(EOMONTH(D45,0))</f>
        <v>30</v>
      </c>
      <c r="O45">
        <f>DATEDIF(D45,EOMONTH(D45,0),"d")+1</f>
        <v>30</v>
      </c>
      <c r="P45">
        <f>ROUND(M45*O45/N45,2)</f>
        <v>77468.88</v>
      </c>
      <c r="Q45">
        <f>MAX(P45,'Fee Schedule'!$I$3)</f>
        <v>77468.88</v>
      </c>
      <c r="R45">
        <f>MIN(Q45,'Fee Schedule'!$I$4)</f>
        <v>77468.88</v>
      </c>
      <c r="S45">
        <f>IFERROR(R45*'Fee Schedule'!$I$5,0)</f>
        <v>1936.7220000000002</v>
      </c>
      <c r="T45">
        <f>ROUND(R45-S45,2)</f>
        <v>75532.16</v>
      </c>
      <c r="U45">
        <f>IFERROR(VLOOKUP(A45,Overrides!$A:$C,3,FALSE),T45)</f>
        <v>75532.16</v>
      </c>
      <c r="V45" t="str">
        <f>IF(U45=T45,"","OVERRIDE")</f>
        <v/>
      </c>
      <c r="W45" t="str">
        <f>LEFT(A45,3)&amp;"-"&amp;E45</f>
        <v>000-2026-11</v>
      </c>
      <c r="X45">
        <f>COUNTIFS(Positions!$A:$A,A45)</f>
        <v>2</v>
      </c>
      <c r="Y45">
        <f>SUM($U$19:U45)</f>
        <v>2261636.35</v>
      </c>
      <c r="Z45" t="str">
        <f>UPPER(TRIM(INDEX('Entity Map'!$E:$E,MATCH(A45,'Entity Map'!$A:$A,0))))</f>
        <v>FIXED INCOME</v>
      </c>
      <c r="AA45">
        <f>SUMIFS(Positions!$F:$F,Positions!$E:$E,Z45)</f>
        <v>2496645976.4</v>
      </c>
      <c r="AB45">
        <f>IFERROR(F45/AA45,0)</f>
        <v>0.01410417260110503</v>
      </c>
      <c r="AC45">
        <f>SUMPRODUCT(Positions!$F$18:$F$185,--(Positions!$A$18:$A$185=A45))</f>
        <v>70426251.55</v>
      </c>
      <c r="AD45" t="str">
        <f>IF(U45&gt;40000,"A",IF(U45&gt;8000,"B","C"))</f>
        <v>A</v>
      </c>
      <c r="AE45">
        <f>COUNTIF('Entity Map'!$A:$A,A45)</f>
        <v>1</v>
      </c>
      <c r="AF45">
        <f>MAX(Positions!$C:$C)</f>
        <v>46354</v>
      </c>
      <c r="AG45">
        <f>YEAR(D45)</f>
        <v>2026</v>
      </c>
      <c r="AH45">
        <f>ROUND(F45*$B$14/10000,2)</f>
        <v>91554.13</v>
      </c>
      <c r="AI45">
        <f>AH45-T45</f>
        <v>16021.970000000001</v>
      </c>
      <c r="AJ45">
        <f>AI45*$B$15</f>
        <v>15541.3109</v>
      </c>
      <c r="AK45" t="str">
        <f>CONCATENATE(A45," / ",TEXT(AJ45,"0.00"))</f>
        <v>00027 / 15541.31</v>
      </c>
    </row>
    <row r="46">
      <c r="A46" t="inlineStr">
        <is>
          <t>00028</t>
        </is>
      </c>
      <c r="B46" t="str">
        <f>INDEX('Entity Map'!$B:$B,MATCH(A46,'Entity Map'!$A:$A,0))</f>
        <v>Client 028 Holdings</v>
      </c>
      <c r="C46">
        <f>INDEX('Entity Map'!$F:$F,MATCH(A46,'Entity Map'!$A:$A,0))</f>
        <v>45352</v>
      </c>
      <c r="D46">
        <f>MAX(DATE(2026,11,1),C46)</f>
        <v>46327</v>
      </c>
      <c r="E46" t="str">
        <f>TEXT(D46,"yyyy-mm")</f>
        <v>2026-11</v>
      </c>
      <c r="F46">
        <f>AVERAGEIFS(Positions!$F:$F,Positions!$A:$A,A46)</f>
        <v>188700</v>
      </c>
      <c r="G46">
        <f>F45</f>
        <v>35213125.775</v>
      </c>
      <c r="H46">
        <f>IF(A46=A45,G46,F46)</f>
        <v>188700</v>
      </c>
      <c r="I46">
        <f>VLOOKUP(F46,'Fee Schedule'!$D$5:$F$8,3,TRUE)</f>
        <v>35</v>
      </c>
      <c r="J46">
        <f>IFERROR(VLOOKUP(A46,'Fee Schedule'!$A$5:$B$21,2,FALSE),I46)</f>
        <v>35</v>
      </c>
      <c r="K46" t="str">
        <f>INDEX('Entity Map'!$C:$C,MATCH(A46,'Entity Map'!$A:$A,0))</f>
        <v>LuxCo</v>
      </c>
      <c r="L46" t="str">
        <f>INDEX('Entity Map'!$D:$D,MATCH(A46,'Entity Map'!$A:$A,0))</f>
        <v>CC-130</v>
      </c>
      <c r="M46">
        <f>ROUND(F46*J46/10000,2)</f>
        <v>660.45</v>
      </c>
      <c r="N46">
        <f>DAY(EOMONTH(D46,0))</f>
        <v>30</v>
      </c>
      <c r="O46">
        <f>DATEDIF(D46,EOMONTH(D46,0),"d")+1</f>
        <v>30</v>
      </c>
      <c r="P46">
        <f>ROUND(M46*O46/N46,2)</f>
        <v>660.45</v>
      </c>
      <c r="Q46">
        <f>MAX(P46,'Fee Schedule'!$I$3)</f>
        <v>750</v>
      </c>
      <c r="R46">
        <f>MIN(Q46,'Fee Schedule'!$I$4)</f>
        <v>750</v>
      </c>
      <c r="S46">
        <f>IFERROR(R46*'Fee Schedule'!$I$5,0)</f>
        <v>18.75</v>
      </c>
      <c r="T46">
        <f>ROUND(R46-S46,2)</f>
        <v>731.25</v>
      </c>
      <c r="U46">
        <f>IFERROR(VLOOKUP(A46,Overrides!$A:$C,3,FALSE),T46)</f>
        <v>731.25</v>
      </c>
      <c r="V46" t="str">
        <f>IF(U46=T46,"","OVERRIDE")</f>
        <v/>
      </c>
      <c r="W46" t="str">
        <f>LEFT(A46,3)&amp;"-"&amp;E46</f>
        <v>000-2026-11</v>
      </c>
      <c r="X46">
        <f>COUNTIFS(Positions!$A:$A,A46)</f>
        <v>2</v>
      </c>
      <c r="Y46">
        <f>SUM($U$19:U46)</f>
        <v>2262367.6</v>
      </c>
      <c r="Z46" t="str">
        <f>UPPER(TRIM(INDEX('Entity Map'!$E:$E,MATCH(A46,'Entity Map'!$A:$A,0))))</f>
        <v>BALANCED</v>
      </c>
      <c r="AA46">
        <f>SUMIFS(Positions!$F:$F,Positions!$E:$E,Z46)</f>
        <v>2420753390.7000003</v>
      </c>
      <c r="AB46">
        <f>IFERROR(F46/AA46,0)</f>
        <v>7.795093904440812e-05</v>
      </c>
      <c r="AC46">
        <f>SUMPRODUCT(Positions!$F$18:$F$185,--(Positions!$A$18:$A$185=A46))</f>
        <v>377400</v>
      </c>
      <c r="AD46" t="str">
        <f>IF(U46&gt;40000,"A",IF(U46&gt;8000,"B","C"))</f>
        <v>C</v>
      </c>
      <c r="AE46">
        <f>COUNTIF('Entity Map'!$A:$A,A46)</f>
        <v>1</v>
      </c>
      <c r="AF46">
        <f>MAX(Positions!$C:$C)</f>
        <v>46354</v>
      </c>
      <c r="AG46">
        <f>YEAR(D46)</f>
        <v>2026</v>
      </c>
      <c r="AH46">
        <f>ROUND(F46*$B$14/10000,2)</f>
        <v>490.62</v>
      </c>
      <c r="AI46">
        <f>AH46-T46</f>
        <v>-240.63</v>
      </c>
      <c r="AJ46">
        <f>AI46*$B$15</f>
        <v>-233.41109999999998</v>
      </c>
      <c r="AK46" t="str">
        <f>CONCATENATE(A46," / ",TEXT(AJ46,"0.00"))</f>
        <v>00028 / -233.41</v>
      </c>
    </row>
    <row r="47">
      <c r="A47" t="inlineStr">
        <is>
          <t>00029</t>
        </is>
      </c>
      <c r="B47" t="str">
        <f>INDEX('Entity Map'!$B:$B,MATCH(A47,'Entity Map'!$A:$A,0))</f>
        <v>Client 029 Holdings</v>
      </c>
      <c r="C47">
        <f>INDEX('Entity Map'!$F:$F,MATCH(A47,'Entity Map'!$A:$A,0))</f>
        <v>45353</v>
      </c>
      <c r="D47">
        <f>MAX(DATE(2026,11,1),C47)</f>
        <v>46327</v>
      </c>
      <c r="E47" t="str">
        <f>TEXT(D47,"yyyy-mm")</f>
        <v>2026-11</v>
      </c>
      <c r="F47">
        <f>AVERAGEIFS(Positions!$F:$F,Positions!$A:$A,A47)</f>
        <v>76963467.825</v>
      </c>
      <c r="G47">
        <f>F46</f>
        <v>188700</v>
      </c>
      <c r="H47">
        <f>IF(A47=A46,G47,F47)</f>
        <v>76963467.825</v>
      </c>
      <c r="I47">
        <f>VLOOKUP(F47,'Fee Schedule'!$D$5:$F$8,3,TRUE)</f>
        <v>18.5</v>
      </c>
      <c r="J47">
        <f>IFERROR(VLOOKUP(A47,'Fee Schedule'!$A$5:$B$21,2,FALSE),I47)</f>
        <v>18.5</v>
      </c>
      <c r="K47" t="str">
        <f>INDEX('Entity Map'!$C:$C,MATCH(A47,'Entity Map'!$A:$A,0))</f>
        <v>UKCo</v>
      </c>
      <c r="L47" t="str">
        <f>INDEX('Entity Map'!$D:$D,MATCH(A47,'Entity Map'!$A:$A,0))</f>
        <v>CC-140</v>
      </c>
      <c r="M47">
        <f>ROUND(F47*J47/10000,2)</f>
        <v>142382.42</v>
      </c>
      <c r="N47">
        <f>DAY(EOMONTH(D47,0))</f>
        <v>30</v>
      </c>
      <c r="O47">
        <f>DATEDIF(D47,EOMONTH(D47,0),"d")+1</f>
        <v>30</v>
      </c>
      <c r="P47">
        <f>ROUND(M47*O47/N47,2)</f>
        <v>142382.42</v>
      </c>
      <c r="Q47">
        <f>MAX(P47,'Fee Schedule'!$I$3)</f>
        <v>142382.42</v>
      </c>
      <c r="R47">
        <f>MIN(Q47,'Fee Schedule'!$I$4)</f>
        <v>142382.42</v>
      </c>
      <c r="S47">
        <f>IFERROR(R47*'Fee Schedule'!$I$5,0)</f>
        <v>3559.5605000000005</v>
      </c>
      <c r="T47">
        <f>ROUND(R47-S47,2)</f>
        <v>138822.86</v>
      </c>
      <c r="U47">
        <f>IFERROR(VLOOKUP(A47,Overrides!$A:$C,3,FALSE),T47)</f>
        <v>138822.86</v>
      </c>
      <c r="V47" t="str">
        <f>IF(U47=T47,"","OVERRIDE")</f>
        <v/>
      </c>
      <c r="W47" t="str">
        <f>LEFT(A47,3)&amp;"-"&amp;E47</f>
        <v>000-2026-11</v>
      </c>
      <c r="X47">
        <f>COUNTIFS(Positions!$A:$A,A47)</f>
        <v>2</v>
      </c>
      <c r="Y47">
        <f>SUM($U$19:U47)</f>
        <v>2401190.46</v>
      </c>
      <c r="Z47" t="str">
        <f>UPPER(TRIM(INDEX('Entity Map'!$E:$E,MATCH(A47,'Entity Map'!$A:$A,0))))</f>
        <v>EQUITY</v>
      </c>
      <c r="AA47">
        <f>SUMIFS(Positions!$F:$F,Positions!$E:$E,Z47)</f>
        <v>2806311623.609999</v>
      </c>
      <c r="AB47">
        <f>IFERROR(F47/AA47,0)</f>
        <v>0.027425132397091132</v>
      </c>
      <c r="AC47">
        <f>SUMPRODUCT(Positions!$F$18:$F$185,--(Positions!$A$18:$A$185=A47))</f>
        <v>153926935.65</v>
      </c>
      <c r="AD47" t="str">
        <f>IF(U47&gt;40000,"A",IF(U47&gt;8000,"B","C"))</f>
        <v>A</v>
      </c>
      <c r="AE47">
        <f>COUNTIF('Entity Map'!$A:$A,A47)</f>
        <v>1</v>
      </c>
      <c r="AF47">
        <f>MAX(Positions!$C:$C)</f>
        <v>46354</v>
      </c>
      <c r="AG47">
        <f>YEAR(D47)</f>
        <v>2026</v>
      </c>
      <c r="AH47">
        <f>ROUND(F47*$B$14/10000,2)</f>
        <v>200105.02</v>
      </c>
      <c r="AI47">
        <f>AH47-T47</f>
        <v>61282.16</v>
      </c>
      <c r="AJ47">
        <f>AI47*$B$15</f>
        <v>59443.6952</v>
      </c>
      <c r="AK47" t="str">
        <f>CONCATENATE(A47," / ",TEXT(AJ47,"0.00"))</f>
        <v>00029 / 59443.70</v>
      </c>
    </row>
    <row r="48">
      <c r="A48" t="inlineStr">
        <is>
          <t>00030</t>
        </is>
      </c>
      <c r="B48" t="str">
        <f>INDEX('Entity Map'!$B:$B,MATCH(A48,'Entity Map'!$A:$A,0))</f>
        <v>Client 030 Holdings</v>
      </c>
      <c r="C48">
        <f>INDEX('Entity Map'!$F:$F,MATCH(A48,'Entity Map'!$A:$A,0))</f>
        <v>45354</v>
      </c>
      <c r="D48">
        <f>MAX(DATE(2026,11,1),C48)</f>
        <v>46327</v>
      </c>
      <c r="E48" t="str">
        <f>TEXT(D48,"yyyy-mm")</f>
        <v>2026-11</v>
      </c>
      <c r="F48">
        <f>AVERAGEIFS(Positions!$F:$F,Positions!$A:$A,A48)</f>
        <v>51764180.965</v>
      </c>
      <c r="G48">
        <f>F47</f>
        <v>76963467.825</v>
      </c>
      <c r="H48">
        <f>IF(A48=A47,G48,F48)</f>
        <v>51764180.965</v>
      </c>
      <c r="I48">
        <f>VLOOKUP(F48,'Fee Schedule'!$D$5:$F$8,3,TRUE)</f>
        <v>18.5</v>
      </c>
      <c r="J48">
        <f>IFERROR(VLOOKUP(A48,'Fee Schedule'!$A$5:$B$21,2,FALSE),I48)</f>
        <v>18.5</v>
      </c>
      <c r="K48" t="str">
        <f>INDEX('Entity Map'!$C:$C,MATCH(A48,'Entity Map'!$A:$A,0))</f>
        <v>DubCo</v>
      </c>
      <c r="L48" t="str">
        <f>INDEX('Entity Map'!$D:$D,MATCH(A48,'Entity Map'!$A:$A,0))</f>
        <v>CC-150</v>
      </c>
      <c r="M48">
        <f>ROUND(F48*J48/10000,2)</f>
        <v>95763.73</v>
      </c>
      <c r="N48">
        <f>DAY(EOMONTH(D48,0))</f>
        <v>30</v>
      </c>
      <c r="O48">
        <f>DATEDIF(D48,EOMONTH(D48,0),"d")+1</f>
        <v>30</v>
      </c>
      <c r="P48">
        <f>ROUND(M48*O48/N48,2)</f>
        <v>95763.73</v>
      </c>
      <c r="Q48">
        <f>MAX(P48,'Fee Schedule'!$I$3)</f>
        <v>95763.73</v>
      </c>
      <c r="R48">
        <f>MIN(Q48,'Fee Schedule'!$I$4)</f>
        <v>95763.73</v>
      </c>
      <c r="S48">
        <f>IFERROR(R48*'Fee Schedule'!$I$5,0)</f>
        <v>2394.09325</v>
      </c>
      <c r="T48">
        <f>ROUND(R48-S48,2)</f>
        <v>93369.64</v>
      </c>
      <c r="U48">
        <f>IFERROR(VLOOKUP(A48,Overrides!$A:$C,3,FALSE),T48)</f>
        <v>93369.64</v>
      </c>
      <c r="V48" t="str">
        <f>IF(U48=T48,"","OVERRIDE")</f>
        <v/>
      </c>
      <c r="W48" t="str">
        <f>LEFT(A48,3)&amp;"-"&amp;E48</f>
        <v>000-2026-11</v>
      </c>
      <c r="X48">
        <f>COUNTIFS(Positions!$A:$A,A48)</f>
        <v>2</v>
      </c>
      <c r="Y48">
        <f>SUM($U$19:U48)</f>
        <v>2494560.1</v>
      </c>
      <c r="Z48" t="str">
        <f>UPPER(TRIM(INDEX('Entity Map'!$E:$E,MATCH(A48,'Entity Map'!$A:$A,0))))</f>
        <v>FIXED INCOME</v>
      </c>
      <c r="AA48">
        <f>SUMIFS(Positions!$F:$F,Positions!$E:$E,Z48)</f>
        <v>2496645976.4</v>
      </c>
      <c r="AB48">
        <f>IFERROR(F48/AA48,0)</f>
        <v>0.020733488630070237</v>
      </c>
      <c r="AC48">
        <f>SUMPRODUCT(Positions!$F$18:$F$185,--(Positions!$A$18:$A$185=A48))</f>
        <v>103528361.93</v>
      </c>
      <c r="AD48" t="str">
        <f>IF(U48&gt;40000,"A",IF(U48&gt;8000,"B","C"))</f>
        <v>A</v>
      </c>
      <c r="AE48">
        <f>COUNTIF('Entity Map'!$A:$A,A48)</f>
        <v>1</v>
      </c>
      <c r="AF48">
        <f>MAX(Positions!$C:$C)</f>
        <v>46354</v>
      </c>
      <c r="AG48">
        <f>YEAR(D48)</f>
        <v>2026</v>
      </c>
      <c r="AH48">
        <f>ROUND(F48*$B$14/10000,2)</f>
        <v>134586.87</v>
      </c>
      <c r="AI48">
        <f>AH48-T48</f>
        <v>41217.229999999996</v>
      </c>
      <c r="AJ48">
        <f>AI48*$B$15</f>
        <v>39980.71309999999</v>
      </c>
      <c r="AK48" t="str">
        <f>CONCATENATE(A48," / ",TEXT(AJ48,"0.00"))</f>
        <v>00030 / 39980.71</v>
      </c>
    </row>
    <row r="49">
      <c r="A49" t="inlineStr">
        <is>
          <t>00031</t>
        </is>
      </c>
      <c r="B49" t="str">
        <f>INDEX('Entity Map'!$B:$B,MATCH(A49,'Entity Map'!$A:$A,0))</f>
        <v>Client 031 Holdings</v>
      </c>
      <c r="C49">
        <f>INDEX('Entity Map'!$F:$F,MATCH(A49,'Entity Map'!$A:$A,0))</f>
        <v>45355</v>
      </c>
      <c r="D49">
        <f>MAX(DATE(2026,11,1),C49)</f>
        <v>46327</v>
      </c>
      <c r="E49" t="str">
        <f>TEXT(D49,"yyyy-mm")</f>
        <v>2026-11</v>
      </c>
      <c r="F49">
        <f>AVERAGEIFS(Positions!$F:$F,Positions!$A:$A,A49)</f>
        <v>63020175.21</v>
      </c>
      <c r="G49">
        <f>F48</f>
        <v>51764180.965</v>
      </c>
      <c r="H49">
        <f>IF(A49=A48,G49,F49)</f>
        <v>63020175.21</v>
      </c>
      <c r="I49">
        <f>VLOOKUP(F49,'Fee Schedule'!$D$5:$F$8,3,TRUE)</f>
        <v>18.5</v>
      </c>
      <c r="J49">
        <f>IFERROR(VLOOKUP(A49,'Fee Schedule'!$A$5:$B$21,2,FALSE),I49)</f>
        <v>24.5</v>
      </c>
      <c r="K49" t="str">
        <f>INDEX('Entity Map'!$C:$C,MATCH(A49,'Entity Map'!$A:$A,0))</f>
        <v>LuxCo</v>
      </c>
      <c r="L49" t="str">
        <f>INDEX('Entity Map'!$D:$D,MATCH(A49,'Entity Map'!$A:$A,0))</f>
        <v>CC-100</v>
      </c>
      <c r="M49">
        <f>ROUND(F49*J49/10000,2)</f>
        <v>154399.43</v>
      </c>
      <c r="N49">
        <f>DAY(EOMONTH(D49,0))</f>
        <v>30</v>
      </c>
      <c r="O49">
        <f>DATEDIF(D49,EOMONTH(D49,0),"d")+1</f>
        <v>30</v>
      </c>
      <c r="P49">
        <f>ROUND(M49*O49/N49,2)</f>
        <v>154399.43</v>
      </c>
      <c r="Q49">
        <f>MAX(P49,'Fee Schedule'!$I$3)</f>
        <v>154399.43</v>
      </c>
      <c r="R49">
        <f>MIN(Q49,'Fee Schedule'!$I$4)</f>
        <v>154399.43</v>
      </c>
      <c r="S49">
        <f>IFERROR(R49*'Fee Schedule'!$I$5,0)</f>
        <v>3859.98575</v>
      </c>
      <c r="T49">
        <f>ROUND(R49-S49,2)</f>
        <v>150539.44</v>
      </c>
      <c r="U49">
        <f>IFERROR(VLOOKUP(A49,Overrides!$A:$C,3,FALSE),T49)</f>
        <v>150539.44</v>
      </c>
      <c r="V49" t="str">
        <f>IF(U49=T49,"","OVERRIDE")</f>
        <v/>
      </c>
      <c r="W49" t="str">
        <f>LEFT(A49,3)&amp;"-"&amp;E49</f>
        <v>000-2026-11</v>
      </c>
      <c r="X49">
        <f>COUNTIFS(Positions!$A:$A,A49)</f>
        <v>2</v>
      </c>
      <c r="Y49">
        <f>SUM($U$19:U49)</f>
        <v>2645099.54</v>
      </c>
      <c r="Z49" t="str">
        <f>UPPER(TRIM(INDEX('Entity Map'!$E:$E,MATCH(A49,'Entity Map'!$A:$A,0))))</f>
        <v>BALANCED</v>
      </c>
      <c r="AA49">
        <f>SUMIFS(Positions!$F:$F,Positions!$E:$E,Z49)</f>
        <v>2420753390.7000003</v>
      </c>
      <c r="AB49">
        <f>IFERROR(F49/AA49,0)</f>
        <v>0.02603329007081415</v>
      </c>
      <c r="AC49">
        <f>SUMPRODUCT(Positions!$F$18:$F$185,--(Positions!$A$18:$A$185=A49))</f>
        <v>126040350.42</v>
      </c>
      <c r="AD49" t="str">
        <f>IF(U49&gt;40000,"A",IF(U49&gt;8000,"B","C"))</f>
        <v>A</v>
      </c>
      <c r="AE49">
        <f>COUNTIF('Entity Map'!$A:$A,A49)</f>
        <v>1</v>
      </c>
      <c r="AF49">
        <f>MAX(Positions!$C:$C)</f>
        <v>46354</v>
      </c>
      <c r="AG49">
        <f>YEAR(D49)</f>
        <v>2026</v>
      </c>
      <c r="AH49">
        <f>ROUND(F49*$B$14/10000,2)</f>
        <v>163852.46</v>
      </c>
      <c r="AI49">
        <f>AH49-T49</f>
        <v>13313.01999999999</v>
      </c>
      <c r="AJ49">
        <f>AI49*$B$15</f>
        <v>12913.629399999989</v>
      </c>
      <c r="AK49" t="str">
        <f>CONCATENATE(A49," / ",TEXT(AJ49,"0.00"))</f>
        <v>00031 / 12913.63</v>
      </c>
    </row>
    <row r="50">
      <c r="A50" t="inlineStr">
        <is>
          <t>00032</t>
        </is>
      </c>
      <c r="B50" t="str">
        <f>INDEX('Entity Map'!$B:$B,MATCH(A50,'Entity Map'!$A:$A,0))</f>
        <v>Client 032 Holdings</v>
      </c>
      <c r="C50">
        <f>INDEX('Entity Map'!$F:$F,MATCH(A50,'Entity Map'!$A:$A,0))</f>
        <v>45356</v>
      </c>
      <c r="D50">
        <f>MAX(DATE(2026,11,1),C50)</f>
        <v>46327</v>
      </c>
      <c r="E50" t="str">
        <f>TEXT(D50,"yyyy-mm")</f>
        <v>2026-11</v>
      </c>
      <c r="F50">
        <f>AVERAGEIFS(Positions!$F:$F,Positions!$A:$A,A50)</f>
        <v>50842852.63</v>
      </c>
      <c r="G50">
        <f>F49</f>
        <v>63020175.21</v>
      </c>
      <c r="H50">
        <f>IF(A50=A49,G50,F50)</f>
        <v>50842852.63</v>
      </c>
      <c r="I50">
        <f>VLOOKUP(F50,'Fee Schedule'!$D$5:$F$8,3,TRUE)</f>
        <v>18.5</v>
      </c>
      <c r="J50">
        <f>IFERROR(VLOOKUP(A50,'Fee Schedule'!$A$5:$B$21,2,FALSE),I50)</f>
        <v>18.5</v>
      </c>
      <c r="K50" t="str">
        <f>INDEX('Entity Map'!$C:$C,MATCH(A50,'Entity Map'!$A:$A,0))</f>
        <v>UKCo</v>
      </c>
      <c r="L50" t="str">
        <f>INDEX('Entity Map'!$D:$D,MATCH(A50,'Entity Map'!$A:$A,0))</f>
        <v>CC-110</v>
      </c>
      <c r="M50">
        <f>ROUND(F50*J50/10000,2)</f>
        <v>94059.28</v>
      </c>
      <c r="N50">
        <f>DAY(EOMONTH(D50,0))</f>
        <v>30</v>
      </c>
      <c r="O50">
        <f>DATEDIF(D50,EOMONTH(D50,0),"d")+1</f>
        <v>30</v>
      </c>
      <c r="P50">
        <f>ROUND(M50*O50/N50,2)</f>
        <v>94059.28</v>
      </c>
      <c r="Q50">
        <f>MAX(P50,'Fee Schedule'!$I$3)</f>
        <v>94059.28</v>
      </c>
      <c r="R50">
        <f>MIN(Q50,'Fee Schedule'!$I$4)</f>
        <v>94059.28</v>
      </c>
      <c r="S50">
        <f>IFERROR(R50*'Fee Schedule'!$I$5,0)</f>
        <v>2351.482</v>
      </c>
      <c r="T50">
        <f>ROUND(R50-S50,2)</f>
        <v>91707.8</v>
      </c>
      <c r="U50">
        <f>IFERROR(VLOOKUP(A50,Overrides!$A:$C,3,FALSE),T50)</f>
        <v>91707.8</v>
      </c>
      <c r="V50" t="str">
        <f>IF(U50=T50,"","OVERRIDE")</f>
        <v/>
      </c>
      <c r="W50" t="str">
        <f>LEFT(A50,3)&amp;"-"&amp;E50</f>
        <v>000-2026-11</v>
      </c>
      <c r="X50">
        <f>COUNTIFS(Positions!$A:$A,A50)</f>
        <v>2</v>
      </c>
      <c r="Y50">
        <f>SUM($U$19:U50)</f>
        <v>2736807.34</v>
      </c>
      <c r="Z50" t="str">
        <f>UPPER(TRIM(INDEX('Entity Map'!$E:$E,MATCH(A50,'Entity Map'!$A:$A,0))))</f>
        <v>EQUITY</v>
      </c>
      <c r="AA50">
        <f>SUMIFS(Positions!$F:$F,Positions!$E:$E,Z50)</f>
        <v>2806311623.609999</v>
      </c>
      <c r="AB50">
        <f>IFERROR(F50/AA50,0)</f>
        <v>0.018117322467772302</v>
      </c>
      <c r="AC50">
        <f>SUMPRODUCT(Positions!$F$18:$F$185,--(Positions!$A$18:$A$185=A50))</f>
        <v>101685705.26</v>
      </c>
      <c r="AD50" t="str">
        <f>IF(U50&gt;40000,"A",IF(U50&gt;8000,"B","C"))</f>
        <v>A</v>
      </c>
      <c r="AE50">
        <f>COUNTIF('Entity Map'!$A:$A,A50)</f>
        <v>1</v>
      </c>
      <c r="AF50">
        <f>MAX(Positions!$C:$C)</f>
        <v>46354</v>
      </c>
      <c r="AG50">
        <f>YEAR(D50)</f>
        <v>2026</v>
      </c>
      <c r="AH50">
        <f>ROUND(F50*$B$14/10000,2)</f>
        <v>132191.42</v>
      </c>
      <c r="AI50">
        <f>AH50-T50</f>
        <v>40483.62000000001</v>
      </c>
      <c r="AJ50">
        <f>AI50*$B$15</f>
        <v>39269.11140000001</v>
      </c>
      <c r="AK50" t="str">
        <f>CONCATENATE(A50," / ",TEXT(AJ50,"0.00"))</f>
        <v>00032 / 39269.11</v>
      </c>
    </row>
    <row r="51">
      <c r="A51" t="inlineStr">
        <is>
          <t>00033</t>
        </is>
      </c>
      <c r="B51" t="str">
        <f>INDEX('Entity Map'!$B:$B,MATCH(A51,'Entity Map'!$A:$A,0))</f>
        <v>Client 033 Holdings</v>
      </c>
      <c r="C51">
        <f>INDEX('Entity Map'!$F:$F,MATCH(A51,'Entity Map'!$A:$A,0))</f>
        <v>45357</v>
      </c>
      <c r="D51">
        <f>MAX(DATE(2026,11,1),C51)</f>
        <v>46327</v>
      </c>
      <c r="E51" t="str">
        <f>TEXT(D51,"yyyy-mm")</f>
        <v>2026-11</v>
      </c>
      <c r="F51">
        <f>AVERAGEIFS(Positions!$F:$F,Positions!$A:$A,A51)</f>
        <v>67985732.02000001</v>
      </c>
      <c r="G51">
        <f>F50</f>
        <v>50842852.63</v>
      </c>
      <c r="H51">
        <f>IF(A51=A50,G51,F51)</f>
        <v>67985732.02000001</v>
      </c>
      <c r="I51">
        <f>VLOOKUP(F51,'Fee Schedule'!$D$5:$F$8,3,TRUE)</f>
        <v>18.5</v>
      </c>
      <c r="J51">
        <f>IFERROR(VLOOKUP(A51,'Fee Schedule'!$A$5:$B$21,2,FALSE),I51)</f>
        <v>18.5</v>
      </c>
      <c r="K51" t="str">
        <f>INDEX('Entity Map'!$C:$C,MATCH(A51,'Entity Map'!$A:$A,0))</f>
        <v>DubCo</v>
      </c>
      <c r="L51" t="str">
        <f>INDEX('Entity Map'!$D:$D,MATCH(A51,'Entity Map'!$A:$A,0))</f>
        <v>CC-120</v>
      </c>
      <c r="M51">
        <f>ROUND(F51*J51/10000,2)</f>
        <v>125773.6</v>
      </c>
      <c r="N51">
        <f>DAY(EOMONTH(D51,0))</f>
        <v>30</v>
      </c>
      <c r="O51">
        <f>DATEDIF(D51,EOMONTH(D51,0),"d")+1</f>
        <v>30</v>
      </c>
      <c r="P51">
        <f>ROUND(M51*O51/N51,2)</f>
        <v>125773.6</v>
      </c>
      <c r="Q51">
        <f>MAX(P51,'Fee Schedule'!$I$3)</f>
        <v>125773.6</v>
      </c>
      <c r="R51">
        <f>MIN(Q51,'Fee Schedule'!$I$4)</f>
        <v>125773.6</v>
      </c>
      <c r="S51">
        <f>IFERROR(R51*'Fee Schedule'!$I$5,0)</f>
        <v>3144.34</v>
      </c>
      <c r="T51">
        <f>ROUND(R51-S51,2)</f>
        <v>122629.26</v>
      </c>
      <c r="U51">
        <f>IFERROR(VLOOKUP(A51,Overrides!$A:$C,3,FALSE),T51)</f>
        <v>122629.26</v>
      </c>
      <c r="V51" t="str">
        <f>IF(U51=T51,"","OVERRIDE")</f>
        <v/>
      </c>
      <c r="W51" t="str">
        <f>LEFT(A51,3)&amp;"-"&amp;E51</f>
        <v>000-2026-11</v>
      </c>
      <c r="X51">
        <f>COUNTIFS(Positions!$A:$A,A51)</f>
        <v>2</v>
      </c>
      <c r="Y51">
        <f>SUM($U$19:U51)</f>
        <v>2859436.6</v>
      </c>
      <c r="Z51" t="str">
        <f>UPPER(TRIM(INDEX('Entity Map'!$E:$E,MATCH(A51,'Entity Map'!$A:$A,0))))</f>
        <v>FIXED INCOME</v>
      </c>
      <c r="AA51">
        <f>SUMIFS(Positions!$F:$F,Positions!$E:$E,Z51)</f>
        <v>2496645976.4</v>
      </c>
      <c r="AB51">
        <f>IFERROR(F51/AA51,0)</f>
        <v>0.027230825941141637</v>
      </c>
      <c r="AC51">
        <f>SUMPRODUCT(Positions!$F$18:$F$185,--(Positions!$A$18:$A$185=A51))</f>
        <v>135971464.04000002</v>
      </c>
      <c r="AD51" t="str">
        <f>IF(U51&gt;40000,"A",IF(U51&gt;8000,"B","C"))</f>
        <v>A</v>
      </c>
      <c r="AE51">
        <f>COUNTIF('Entity Map'!$A:$A,A51)</f>
        <v>1</v>
      </c>
      <c r="AF51">
        <f>MAX(Positions!$C:$C)</f>
        <v>46354</v>
      </c>
      <c r="AG51">
        <f>YEAR(D51)</f>
        <v>2026</v>
      </c>
      <c r="AH51">
        <f>ROUND(F51*$B$14/10000,2)</f>
        <v>176762.9</v>
      </c>
      <c r="AI51">
        <f>AH51-T51</f>
        <v>54133.64</v>
      </c>
      <c r="AJ51">
        <f>AI51*$B$15</f>
        <v>52509.6308</v>
      </c>
      <c r="AK51" t="str">
        <f>CONCATENATE(A51," / ",TEXT(AJ51,"0.00"))</f>
        <v>00033 / 52509.63</v>
      </c>
    </row>
    <row r="52">
      <c r="A52" t="inlineStr">
        <is>
          <t>00034</t>
        </is>
      </c>
      <c r="B52" t="str">
        <f>INDEX('Entity Map'!$B:$B,MATCH(A52,'Entity Map'!$A:$A,0))</f>
        <v>Client 034 Holdings</v>
      </c>
      <c r="C52">
        <f>INDEX('Entity Map'!$F:$F,MATCH(A52,'Entity Map'!$A:$A,0))</f>
        <v>46346</v>
      </c>
      <c r="D52">
        <f>MAX(DATE(2026,11,1),C52)</f>
        <v>46346</v>
      </c>
      <c r="E52" t="str">
        <f>TEXT(D52,"yyyy-mm")</f>
        <v>2026-11</v>
      </c>
      <c r="F52">
        <f>AVERAGEIFS(Positions!$F:$F,Positions!$A:$A,A52)</f>
        <v>58666083.66</v>
      </c>
      <c r="G52">
        <f>F51</f>
        <v>67985732.02000001</v>
      </c>
      <c r="H52">
        <f>IF(A52=A51,G52,F52)</f>
        <v>58666083.66</v>
      </c>
      <c r="I52">
        <f>VLOOKUP(F52,'Fee Schedule'!$D$5:$F$8,3,TRUE)</f>
        <v>18.5</v>
      </c>
      <c r="J52">
        <f>IFERROR(VLOOKUP(A52,'Fee Schedule'!$A$5:$B$21,2,FALSE),I52)</f>
        <v>18.5</v>
      </c>
      <c r="K52" t="str">
        <f>INDEX('Entity Map'!$C:$C,MATCH(A52,'Entity Map'!$A:$A,0))</f>
        <v>LuxCo</v>
      </c>
      <c r="L52" t="str">
        <f>INDEX('Entity Map'!$D:$D,MATCH(A52,'Entity Map'!$A:$A,0))</f>
        <v>CC-130</v>
      </c>
      <c r="M52">
        <f>ROUND(F52*J52/10000,2)</f>
        <v>108532.25</v>
      </c>
      <c r="N52">
        <f>DAY(EOMONTH(D52,0))</f>
        <v>30</v>
      </c>
      <c r="O52">
        <f>DATEDIF(D52,EOMONTH(D52,0),"d")+1</f>
        <v>11</v>
      </c>
      <c r="P52">
        <f>ROUND(M52*O52/N52,2)</f>
        <v>39795.16</v>
      </c>
      <c r="Q52">
        <f>MAX(P52,'Fee Schedule'!$I$3)</f>
        <v>39795.16</v>
      </c>
      <c r="R52">
        <f>MIN(Q52,'Fee Schedule'!$I$4)</f>
        <v>39795.16</v>
      </c>
      <c r="S52">
        <f>IFERROR(R52*'Fee Schedule'!$I$5,0)</f>
        <v>994.8790000000001</v>
      </c>
      <c r="T52">
        <f>ROUND(R52-S52,2)</f>
        <v>38800.28</v>
      </c>
      <c r="U52">
        <f>IFERROR(VLOOKUP(A52,Overrides!$A:$C,3,FALSE),T52)</f>
        <v>38800.28</v>
      </c>
      <c r="V52" t="str">
        <f>IF(U52=T52,"","OVERRIDE")</f>
        <v/>
      </c>
      <c r="W52" t="str">
        <f>LEFT(A52,3)&amp;"-"&amp;E52</f>
        <v>000-2026-11</v>
      </c>
      <c r="X52">
        <f>COUNTIFS(Positions!$A:$A,A52)</f>
        <v>2</v>
      </c>
      <c r="Y52">
        <f>SUM($U$19:U52)</f>
        <v>2898236.88</v>
      </c>
      <c r="Z52" t="str">
        <f>UPPER(TRIM(INDEX('Entity Map'!$E:$E,MATCH(A52,'Entity Map'!$A:$A,0))))</f>
        <v>BALANCED</v>
      </c>
      <c r="AA52">
        <f>SUMIFS(Positions!$F:$F,Positions!$E:$E,Z52)</f>
        <v>2420753390.7000003</v>
      </c>
      <c r="AB52">
        <f>IFERROR(F52/AA52,0)</f>
        <v>0.024234638639930084</v>
      </c>
      <c r="AC52">
        <f>SUMPRODUCT(Positions!$F$18:$F$185,--(Positions!$A$18:$A$185=A52))</f>
        <v>117332167.32</v>
      </c>
      <c r="AD52" t="str">
        <f>IF(U52&gt;40000,"A",IF(U52&gt;8000,"B","C"))</f>
        <v>B</v>
      </c>
      <c r="AE52">
        <f>COUNTIF('Entity Map'!$A:$A,A52)</f>
        <v>1</v>
      </c>
      <c r="AF52">
        <f>MAX(Positions!$C:$C)</f>
        <v>46354</v>
      </c>
      <c r="AG52">
        <f>YEAR(D52)</f>
        <v>2026</v>
      </c>
      <c r="AH52">
        <f>ROUND(F52*$B$14/10000,2)</f>
        <v>152531.82</v>
      </c>
      <c r="AI52">
        <f>AH52-T52</f>
        <v>113731.54000000001</v>
      </c>
      <c r="AJ52">
        <f>AI52*$B$15</f>
        <v>110319.5938</v>
      </c>
      <c r="AK52" t="str">
        <f>CONCATENATE(A52," / ",TEXT(AJ52,"0.00"))</f>
        <v>00034 / 110319.59</v>
      </c>
    </row>
    <row r="53">
      <c r="A53" t="inlineStr">
        <is>
          <t>00035</t>
        </is>
      </c>
      <c r="B53" t="str">
        <f>INDEX('Entity Map'!$B:$B,MATCH(A53,'Entity Map'!$A:$A,0))</f>
        <v>Client 035 Holdings</v>
      </c>
      <c r="C53">
        <f>INDEX('Entity Map'!$F:$F,MATCH(A53,'Entity Map'!$A:$A,0))</f>
        <v>45359</v>
      </c>
      <c r="D53">
        <f>MAX(DATE(2026,11,1),C53)</f>
        <v>46327</v>
      </c>
      <c r="E53" t="str">
        <f>TEXT(D53,"yyyy-mm")</f>
        <v>2026-11</v>
      </c>
      <c r="F53">
        <f>AVERAGEIFS(Positions!$F:$F,Positions!$A:$A,A53)</f>
        <v>73387896.83</v>
      </c>
      <c r="G53">
        <f>F52</f>
        <v>58666083.66</v>
      </c>
      <c r="H53">
        <f>IF(A53=A52,G53,F53)</f>
        <v>73387896.83</v>
      </c>
      <c r="I53">
        <f>VLOOKUP(F53,'Fee Schedule'!$D$5:$F$8,3,TRUE)</f>
        <v>18.5</v>
      </c>
      <c r="J53">
        <f>IFERROR(VLOOKUP(A53,'Fee Schedule'!$A$5:$B$21,2,FALSE),I53)</f>
        <v>18.5</v>
      </c>
      <c r="K53" t="str">
        <f>INDEX('Entity Map'!$C:$C,MATCH(A53,'Entity Map'!$A:$A,0))</f>
        <v>UKCo</v>
      </c>
      <c r="L53" t="str">
        <f>INDEX('Entity Map'!$D:$D,MATCH(A53,'Entity Map'!$A:$A,0))</f>
        <v>CC-140</v>
      </c>
      <c r="M53">
        <f>ROUND(F53*J53/10000,2)</f>
        <v>135767.61</v>
      </c>
      <c r="N53">
        <f>DAY(EOMONTH(D53,0))</f>
        <v>30</v>
      </c>
      <c r="O53">
        <f>DATEDIF(D53,EOMONTH(D53,0),"d")+1</f>
        <v>30</v>
      </c>
      <c r="P53">
        <f>ROUND(M53*O53/N53,2)</f>
        <v>135767.61</v>
      </c>
      <c r="Q53">
        <f>MAX(P53,'Fee Schedule'!$I$3)</f>
        <v>135767.61</v>
      </c>
      <c r="R53">
        <f>MIN(Q53,'Fee Schedule'!$I$4)</f>
        <v>135767.61</v>
      </c>
      <c r="S53">
        <f>IFERROR(R53*'Fee Schedule'!$I$5,0)</f>
        <v>3394.1902499999997</v>
      </c>
      <c r="T53">
        <f>ROUND(R53-S53,2)</f>
        <v>132373.42</v>
      </c>
      <c r="U53">
        <f>IFERROR(VLOOKUP(A53,Overrides!$A:$C,3,FALSE),T53)</f>
        <v>132373.42</v>
      </c>
      <c r="V53" t="str">
        <f>IF(U53=T53,"","OVERRIDE")</f>
        <v/>
      </c>
      <c r="W53" t="str">
        <f>LEFT(A53,3)&amp;"-"&amp;E53</f>
        <v>000-2026-11</v>
      </c>
      <c r="X53">
        <f>COUNTIFS(Positions!$A:$A,A53)</f>
        <v>2</v>
      </c>
      <c r="Y53">
        <f>SUM($U$19:U53)</f>
        <v>3030610.3</v>
      </c>
      <c r="Z53" t="str">
        <f>UPPER(TRIM(INDEX('Entity Map'!$E:$E,MATCH(A53,'Entity Map'!$A:$A,0))))</f>
        <v>EQUITY</v>
      </c>
      <c r="AA53">
        <f>SUMIFS(Positions!$F:$F,Positions!$E:$E,Z53)</f>
        <v>2806311623.609999</v>
      </c>
      <c r="AB53">
        <f>IFERROR(F53/AA53,0)</f>
        <v>0.026151014809821745</v>
      </c>
      <c r="AC53">
        <f>SUMPRODUCT(Positions!$F$18:$F$185,--(Positions!$A$18:$A$185=A53))</f>
        <v>146775793.66</v>
      </c>
      <c r="AD53" t="str">
        <f>IF(U53&gt;40000,"A",IF(U53&gt;8000,"B","C"))</f>
        <v>A</v>
      </c>
      <c r="AE53">
        <f>COUNTIF('Entity Map'!$A:$A,A53)</f>
        <v>1</v>
      </c>
      <c r="AF53">
        <f>MAX(Positions!$C:$C)</f>
        <v>46354</v>
      </c>
      <c r="AG53">
        <f>YEAR(D53)</f>
        <v>2026</v>
      </c>
      <c r="AH53">
        <f>ROUND(F53*$B$14/10000,2)</f>
        <v>190808.53</v>
      </c>
      <c r="AI53">
        <f>AH53-T53</f>
        <v>58435.109999999986</v>
      </c>
      <c r="AJ53">
        <f>AI53*$B$15</f>
        <v>56682.05669999999</v>
      </c>
      <c r="AK53" t="str">
        <f>CONCATENATE(A53," / ",TEXT(AJ53,"0.00"))</f>
        <v>00035 / 56682.06</v>
      </c>
    </row>
    <row r="54">
      <c r="A54" t="inlineStr">
        <is>
          <t>00036</t>
        </is>
      </c>
      <c r="B54" t="str">
        <f>INDEX('Entity Map'!$B:$B,MATCH(A54,'Entity Map'!$A:$A,0))</f>
        <v>Client 036 Holdings</v>
      </c>
      <c r="C54">
        <f>INDEX('Entity Map'!$F:$F,MATCH(A54,'Entity Map'!$A:$A,0))</f>
        <v>45360</v>
      </c>
      <c r="D54">
        <f>MAX(DATE(2026,11,1),C54)</f>
        <v>46327</v>
      </c>
      <c r="E54" t="str">
        <f>TEXT(D54,"yyyy-mm")</f>
        <v>2026-11</v>
      </c>
      <c r="F54">
        <f>AVERAGEIFS(Positions!$F:$F,Positions!$A:$A,A54)</f>
        <v>44861896.1</v>
      </c>
      <c r="G54">
        <f>F53</f>
        <v>73387896.83</v>
      </c>
      <c r="H54">
        <f>IF(A54=A53,G54,F54)</f>
        <v>44861896.1</v>
      </c>
      <c r="I54">
        <f>VLOOKUP(F54,'Fee Schedule'!$D$5:$F$8,3,TRUE)</f>
        <v>22</v>
      </c>
      <c r="J54">
        <f>IFERROR(VLOOKUP(A54,'Fee Schedule'!$A$5:$B$21,2,FALSE),I54)</f>
        <v>32</v>
      </c>
      <c r="K54" t="str">
        <f>INDEX('Entity Map'!$C:$C,MATCH(A54,'Entity Map'!$A:$A,0))</f>
        <v>DubCo</v>
      </c>
      <c r="L54" t="str">
        <f>INDEX('Entity Map'!$D:$D,MATCH(A54,'Entity Map'!$A:$A,0))</f>
        <v>CC-150</v>
      </c>
      <c r="M54">
        <f>ROUND(F54*J54/10000,2)</f>
        <v>143558.07</v>
      </c>
      <c r="N54">
        <f>DAY(EOMONTH(D54,0))</f>
        <v>30</v>
      </c>
      <c r="O54">
        <f>DATEDIF(D54,EOMONTH(D54,0),"d")+1</f>
        <v>30</v>
      </c>
      <c r="P54">
        <f>ROUND(M54*O54/N54,2)</f>
        <v>143558.07</v>
      </c>
      <c r="Q54">
        <f>MAX(P54,'Fee Schedule'!$I$3)</f>
        <v>143558.07</v>
      </c>
      <c r="R54">
        <f>MIN(Q54,'Fee Schedule'!$I$4)</f>
        <v>143558.07</v>
      </c>
      <c r="S54">
        <f>IFERROR(R54*'Fee Schedule'!$I$5,0)</f>
        <v>3588.95175</v>
      </c>
      <c r="T54">
        <f>ROUND(R54-S54,2)</f>
        <v>139969.12</v>
      </c>
      <c r="U54">
        <f>IFERROR(VLOOKUP(A54,Overrides!$A:$C,3,FALSE),T54)</f>
        <v>139969.12</v>
      </c>
      <c r="V54" t="str">
        <f>IF(U54=T54,"","OVERRIDE")</f>
        <v/>
      </c>
      <c r="W54" t="str">
        <f>LEFT(A54,3)&amp;"-"&amp;E54</f>
        <v>000-2026-11</v>
      </c>
      <c r="X54">
        <f>COUNTIFS(Positions!$A:$A,A54)</f>
        <v>2</v>
      </c>
      <c r="Y54">
        <f>SUM($U$19:U54)</f>
        <v>3170579.42</v>
      </c>
      <c r="Z54" t="str">
        <f>UPPER(TRIM(INDEX('Entity Map'!$E:$E,MATCH(A54,'Entity Map'!$A:$A,0))))</f>
        <v>FIXED INCOME</v>
      </c>
      <c r="AA54">
        <f>SUMIFS(Positions!$F:$F,Positions!$E:$E,Z54)</f>
        <v>2496645976.4</v>
      </c>
      <c r="AB54">
        <f>IFERROR(F54/AA54,0)</f>
        <v>0.017968865639768405</v>
      </c>
      <c r="AC54">
        <f>SUMPRODUCT(Positions!$F$18:$F$185,--(Positions!$A$18:$A$185=A54))</f>
        <v>89723792.2</v>
      </c>
      <c r="AD54" t="str">
        <f>IF(U54&gt;40000,"A",IF(U54&gt;8000,"B","C"))</f>
        <v>A</v>
      </c>
      <c r="AE54">
        <f>COUNTIF('Entity Map'!$A:$A,A54)</f>
        <v>1</v>
      </c>
      <c r="AF54">
        <f>MAX(Positions!$C:$C)</f>
        <v>46354</v>
      </c>
      <c r="AG54">
        <f>YEAR(D54)</f>
        <v>2026</v>
      </c>
      <c r="AH54">
        <f>ROUND(F54*$B$14/10000,2)</f>
        <v>116640.93</v>
      </c>
      <c r="AI54">
        <f>AH54-T54</f>
        <v>-23328.190000000002</v>
      </c>
      <c r="AJ54">
        <f>AI54*$B$15</f>
        <v>-22628.3443</v>
      </c>
      <c r="AK54" t="str">
        <f>CONCATENATE(A54," / ",TEXT(AJ54,"0.00"))</f>
        <v>00036 / -22628.34</v>
      </c>
    </row>
    <row r="55">
      <c r="A55" t="inlineStr">
        <is>
          <t>00037</t>
        </is>
      </c>
      <c r="B55" t="str">
        <f>INDEX('Entity Map'!$B:$B,MATCH(A55,'Entity Map'!$A:$A,0))</f>
        <v>Client 037 Holdings</v>
      </c>
      <c r="C55">
        <f>INDEX('Entity Map'!$F:$F,MATCH(A55,'Entity Map'!$A:$A,0))</f>
        <v>45361</v>
      </c>
      <c r="D55">
        <f>MAX(DATE(2026,11,1),C55)</f>
        <v>46327</v>
      </c>
      <c r="E55" t="str">
        <f>TEXT(D55,"yyyy-mm")</f>
        <v>2026-11</v>
      </c>
      <c r="F55">
        <f>AVERAGEIFS(Positions!$F:$F,Positions!$A:$A,A55)</f>
        <v>14422000.375</v>
      </c>
      <c r="G55">
        <f>F54</f>
        <v>44861896.1</v>
      </c>
      <c r="H55">
        <f>IF(A55=A54,G55,F55)</f>
        <v>14422000.375</v>
      </c>
      <c r="I55">
        <f>VLOOKUP(F55,'Fee Schedule'!$D$5:$F$8,3,TRUE)</f>
        <v>27.5</v>
      </c>
      <c r="J55">
        <f>IFERROR(VLOOKUP(A55,'Fee Schedule'!$A$5:$B$21,2,FALSE),I55)</f>
        <v>27.5</v>
      </c>
      <c r="K55" t="str">
        <f>INDEX('Entity Map'!$C:$C,MATCH(A55,'Entity Map'!$A:$A,0))</f>
        <v>LuxCo</v>
      </c>
      <c r="L55" t="str">
        <f>INDEX('Entity Map'!$D:$D,MATCH(A55,'Entity Map'!$A:$A,0))</f>
        <v>CC-100</v>
      </c>
      <c r="M55">
        <f>ROUND(F55*J55/10000,2)</f>
        <v>39660.5</v>
      </c>
      <c r="N55">
        <f>DAY(EOMONTH(D55,0))</f>
        <v>30</v>
      </c>
      <c r="O55">
        <f>DATEDIF(D55,EOMONTH(D55,0),"d")+1</f>
        <v>30</v>
      </c>
      <c r="P55">
        <f>ROUND(M55*O55/N55,2)</f>
        <v>39660.5</v>
      </c>
      <c r="Q55">
        <f>MAX(P55,'Fee Schedule'!$I$3)</f>
        <v>39660.5</v>
      </c>
      <c r="R55">
        <f>MIN(Q55,'Fee Schedule'!$I$4)</f>
        <v>39660.5</v>
      </c>
      <c r="S55">
        <f>IFERROR(R55*'Fee Schedule'!$I$5,0)</f>
        <v>991.5125</v>
      </c>
      <c r="T55">
        <f>ROUND(R55-S55,2)</f>
        <v>38668.99</v>
      </c>
      <c r="U55">
        <f>IFERROR(VLOOKUP(A55,Overrides!$A:$C,3,FALSE),T55)</f>
        <v>38668.99</v>
      </c>
      <c r="V55" t="str">
        <f>IF(U55=T55,"","OVERRIDE")</f>
        <v/>
      </c>
      <c r="W55" t="str">
        <f>LEFT(A55,3)&amp;"-"&amp;E55</f>
        <v>000-2026-11</v>
      </c>
      <c r="X55">
        <f>COUNTIFS(Positions!$A:$A,A55)</f>
        <v>2</v>
      </c>
      <c r="Y55">
        <f>SUM($U$19:U55)</f>
        <v>3209248.41</v>
      </c>
      <c r="Z55" t="str">
        <f>UPPER(TRIM(INDEX('Entity Map'!$E:$E,MATCH(A55,'Entity Map'!$A:$A,0))))</f>
        <v>BALANCED</v>
      </c>
      <c r="AA55">
        <f>SUMIFS(Positions!$F:$F,Positions!$E:$E,Z55)</f>
        <v>2420753390.7000003</v>
      </c>
      <c r="AB55">
        <f>IFERROR(F55/AA55,0)</f>
        <v>0.005957649560837605</v>
      </c>
      <c r="AC55">
        <f>SUMPRODUCT(Positions!$F$18:$F$185,--(Positions!$A$18:$A$185=A55))</f>
        <v>28844000.75</v>
      </c>
      <c r="AD55" t="str">
        <f>IF(U55&gt;40000,"A",IF(U55&gt;8000,"B","C"))</f>
        <v>B</v>
      </c>
      <c r="AE55">
        <f>COUNTIF('Entity Map'!$A:$A,A55)</f>
        <v>1</v>
      </c>
      <c r="AF55">
        <f>MAX(Positions!$C:$C)</f>
        <v>46354</v>
      </c>
      <c r="AG55">
        <f>YEAR(D55)</f>
        <v>2026</v>
      </c>
      <c r="AH55">
        <f>ROUND(F55*$B$14/10000,2)</f>
        <v>37497.2</v>
      </c>
      <c r="AI55">
        <f>AH55-T55</f>
        <v>-1171.7900000000009</v>
      </c>
      <c r="AJ55">
        <f>AI55*$B$15</f>
        <v>-1136.6363000000008</v>
      </c>
      <c r="AK55" t="str">
        <f>CONCATENATE(A55," / ",TEXT(AJ55,"0.00"))</f>
        <v>00037 / -1136.64</v>
      </c>
    </row>
    <row r="56">
      <c r="A56" t="inlineStr">
        <is>
          <t>00038</t>
        </is>
      </c>
      <c r="B56" t="str">
        <f>INDEX('Entity Map'!$B:$B,MATCH(A56,'Entity Map'!$A:$A,0))</f>
        <v>Client 038 Holdings</v>
      </c>
      <c r="C56">
        <f>INDEX('Entity Map'!$F:$F,MATCH(A56,'Entity Map'!$A:$A,0))</f>
        <v>45362</v>
      </c>
      <c r="D56">
        <f>MAX(DATE(2026,11,1),C56)</f>
        <v>46327</v>
      </c>
      <c r="E56" t="str">
        <f>TEXT(D56,"yyyy-mm")</f>
        <v>2026-11</v>
      </c>
      <c r="F56">
        <f>AVERAGEIFS(Positions!$F:$F,Positions!$A:$A,A56)</f>
        <v>54538484.485</v>
      </c>
      <c r="G56">
        <f>F55</f>
        <v>14422000.375</v>
      </c>
      <c r="H56">
        <f>IF(A56=A55,G56,F56)</f>
        <v>54538484.485</v>
      </c>
      <c r="I56">
        <f>VLOOKUP(F56,'Fee Schedule'!$D$5:$F$8,3,TRUE)</f>
        <v>18.5</v>
      </c>
      <c r="J56">
        <f>IFERROR(VLOOKUP(A56,'Fee Schedule'!$A$5:$B$21,2,FALSE),I56)</f>
        <v>18.5</v>
      </c>
      <c r="K56" t="str">
        <f>INDEX('Entity Map'!$C:$C,MATCH(A56,'Entity Map'!$A:$A,0))</f>
        <v>UKCo</v>
      </c>
      <c r="L56" t="str">
        <f>INDEX('Entity Map'!$D:$D,MATCH(A56,'Entity Map'!$A:$A,0))</f>
        <v>CC-110</v>
      </c>
      <c r="M56">
        <f>ROUND(F56*J56/10000,2)</f>
        <v>100896.2</v>
      </c>
      <c r="N56">
        <f>DAY(EOMONTH(D56,0))</f>
        <v>30</v>
      </c>
      <c r="O56">
        <f>DATEDIF(D56,EOMONTH(D56,0),"d")+1</f>
        <v>30</v>
      </c>
      <c r="P56">
        <f>ROUND(M56*O56/N56,2)</f>
        <v>100896.2</v>
      </c>
      <c r="Q56">
        <f>MAX(P56,'Fee Schedule'!$I$3)</f>
        <v>100896.2</v>
      </c>
      <c r="R56">
        <f>MIN(Q56,'Fee Schedule'!$I$4)</f>
        <v>100896.2</v>
      </c>
      <c r="S56">
        <f>IFERROR(R56*'Fee Schedule'!$I$5,0)</f>
        <v>2522.405</v>
      </c>
      <c r="T56">
        <f>ROUND(R56-S56,2)</f>
        <v>98373.8</v>
      </c>
      <c r="U56">
        <f>IFERROR(VLOOKUP(A56,Overrides!$A:$C,3,FALSE),T56)</f>
        <v>98373.8</v>
      </c>
      <c r="V56" t="str">
        <f>IF(U56=T56,"","OVERRIDE")</f>
        <v/>
      </c>
      <c r="W56" t="str">
        <f>LEFT(A56,3)&amp;"-"&amp;E56</f>
        <v>000-2026-11</v>
      </c>
      <c r="X56">
        <f>COUNTIFS(Positions!$A:$A,A56)</f>
        <v>2</v>
      </c>
      <c r="Y56">
        <f>SUM($U$19:U56)</f>
        <v>3307622.21</v>
      </c>
      <c r="Z56" t="str">
        <f>UPPER(TRIM(INDEX('Entity Map'!$E:$E,MATCH(A56,'Entity Map'!$A:$A,0))))</f>
        <v>EQUITY</v>
      </c>
      <c r="AA56">
        <f>SUMIFS(Positions!$F:$F,Positions!$E:$E,Z56)</f>
        <v>2806311623.609999</v>
      </c>
      <c r="AB56">
        <f>IFERROR(F56/AA56,0)</f>
        <v>0.01943422249551975</v>
      </c>
      <c r="AC56">
        <f>SUMPRODUCT(Positions!$F$18:$F$185,--(Positions!$A$18:$A$185=A56))</f>
        <v>109076968.97</v>
      </c>
      <c r="AD56" t="str">
        <f>IF(U56&gt;40000,"A",IF(U56&gt;8000,"B","C"))</f>
        <v>A</v>
      </c>
      <c r="AE56">
        <f>COUNTIF('Entity Map'!$A:$A,A56)</f>
        <v>1</v>
      </c>
      <c r="AF56">
        <f>MAX(Positions!$C:$C)</f>
        <v>46354</v>
      </c>
      <c r="AG56">
        <f>YEAR(D56)</f>
        <v>2026</v>
      </c>
      <c r="AH56">
        <f>ROUND(F56*$B$14/10000,2)</f>
        <v>141800.06</v>
      </c>
      <c r="AI56">
        <f>AH56-T56</f>
        <v>43426.259999999995</v>
      </c>
      <c r="AJ56">
        <f>AI56*$B$15</f>
        <v>42123.4722</v>
      </c>
      <c r="AK56" t="str">
        <f>CONCATENATE(A56," / ",TEXT(AJ56,"0.00"))</f>
        <v>00038 / 42123.47</v>
      </c>
    </row>
    <row r="57">
      <c r="A57" t="inlineStr">
        <is>
          <t>00039</t>
        </is>
      </c>
      <c r="B57" t="str">
        <f>INDEX('Entity Map'!$B:$B,MATCH(A57,'Entity Map'!$A:$A,0))</f>
        <v>Client 039 Holdings</v>
      </c>
      <c r="C57">
        <f>INDEX('Entity Map'!$F:$F,MATCH(A57,'Entity Map'!$A:$A,0))</f>
        <v>45363</v>
      </c>
      <c r="D57">
        <f>MAX(DATE(2026,11,1),C57)</f>
        <v>46327</v>
      </c>
      <c r="E57" t="str">
        <f>TEXT(D57,"yyyy-mm")</f>
        <v>2026-11</v>
      </c>
      <c r="F57">
        <f>AVERAGEIFS(Positions!$F:$F,Positions!$A:$A,A57)</f>
        <v>9996444.48</v>
      </c>
      <c r="G57">
        <f>F56</f>
        <v>54538484.485</v>
      </c>
      <c r="H57">
        <f>IF(A57=A56,G57,F57)</f>
        <v>9996444.48</v>
      </c>
      <c r="I57">
        <f>VLOOKUP(F57,'Fee Schedule'!$D$5:$F$8,3,TRUE)</f>
        <v>27.5</v>
      </c>
      <c r="J57">
        <f>IFERROR(VLOOKUP(A57,'Fee Schedule'!$A$5:$B$21,2,FALSE),I57)</f>
        <v>27.5</v>
      </c>
      <c r="K57" t="str">
        <f>INDEX('Entity Map'!$C:$C,MATCH(A57,'Entity Map'!$A:$A,0))</f>
        <v>DubCo</v>
      </c>
      <c r="L57" t="str">
        <f>INDEX('Entity Map'!$D:$D,MATCH(A57,'Entity Map'!$A:$A,0))</f>
        <v>CC-120</v>
      </c>
      <c r="M57">
        <f>ROUND(F57*J57/10000,2)</f>
        <v>27490.22</v>
      </c>
      <c r="N57">
        <f>DAY(EOMONTH(D57,0))</f>
        <v>30</v>
      </c>
      <c r="O57">
        <f>DATEDIF(D57,EOMONTH(D57,0),"d")+1</f>
        <v>30</v>
      </c>
      <c r="P57">
        <f>ROUND(M57*O57/N57,2)</f>
        <v>27490.22</v>
      </c>
      <c r="Q57">
        <f>MAX(P57,'Fee Schedule'!$I$3)</f>
        <v>27490.22</v>
      </c>
      <c r="R57">
        <f>MIN(Q57,'Fee Schedule'!$I$4)</f>
        <v>27490.22</v>
      </c>
      <c r="S57">
        <f>IFERROR(R57*'Fee Schedule'!$I$5,0)</f>
        <v>687.2555000000001</v>
      </c>
      <c r="T57">
        <f>ROUND(R57-S57,2)</f>
        <v>26802.96</v>
      </c>
      <c r="U57">
        <f>IFERROR(VLOOKUP(A57,Overrides!$A:$C,3,FALSE),T57)</f>
        <v>26802.96</v>
      </c>
      <c r="V57" t="str">
        <f>IF(U57=T57,"","OVERRIDE")</f>
        <v/>
      </c>
      <c r="W57" t="str">
        <f>LEFT(A57,3)&amp;"-"&amp;E57</f>
        <v>000-2026-11</v>
      </c>
      <c r="X57">
        <f>COUNTIFS(Positions!$A:$A,A57)</f>
        <v>2</v>
      </c>
      <c r="Y57">
        <f>SUM($U$19:U57)</f>
        <v>3334425.17</v>
      </c>
      <c r="Z57" t="str">
        <f>UPPER(TRIM(INDEX('Entity Map'!$E:$E,MATCH(A57,'Entity Map'!$A:$A,0))))</f>
        <v>FIXED INCOME</v>
      </c>
      <c r="AA57">
        <f>SUMIFS(Positions!$F:$F,Positions!$E:$E,Z57)</f>
        <v>2496645976.4</v>
      </c>
      <c r="AB57">
        <f>IFERROR(F57/AA57,0)</f>
        <v>0.004003949528484698</v>
      </c>
      <c r="AC57">
        <f>SUMPRODUCT(Positions!$F$18:$F$185,--(Positions!$A$18:$A$185=A57))</f>
        <v>19992888.96</v>
      </c>
      <c r="AD57" t="str">
        <f>IF(U57&gt;40000,"A",IF(U57&gt;8000,"B","C"))</f>
        <v>B</v>
      </c>
      <c r="AE57">
        <f>COUNTIF('Entity Map'!$A:$A,A57)</f>
        <v>1</v>
      </c>
      <c r="AF57">
        <f>MAX(Positions!$C:$C)</f>
        <v>46354</v>
      </c>
      <c r="AG57">
        <f>YEAR(D57)</f>
        <v>2026</v>
      </c>
      <c r="AH57">
        <f>ROUND(F57*$B$14/10000,2)</f>
        <v>25990.76</v>
      </c>
      <c r="AI57">
        <f>AH57-T57</f>
        <v>-812.2000000000007</v>
      </c>
      <c r="AJ57">
        <f>AI57*$B$15</f>
        <v>-787.8340000000006</v>
      </c>
      <c r="AK57" t="str">
        <f>CONCATENATE(A57," / ",TEXT(AJ57,"0.00"))</f>
        <v>00039 / -787.83</v>
      </c>
    </row>
    <row r="58">
      <c r="A58" t="inlineStr">
        <is>
          <t>00040</t>
        </is>
      </c>
      <c r="B58" t="str">
        <f>INDEX('Entity Map'!$B:$B,MATCH(A58,'Entity Map'!$A:$A,0))</f>
        <v>Client 040 Holdings</v>
      </c>
      <c r="C58">
        <f>INDEX('Entity Map'!$F:$F,MATCH(A58,'Entity Map'!$A:$A,0))</f>
        <v>45364</v>
      </c>
      <c r="D58">
        <f>MAX(DATE(2026,11,1),C58)</f>
        <v>46327</v>
      </c>
      <c r="E58" t="str">
        <f>TEXT(D58,"yyyy-mm")</f>
        <v>2026-11</v>
      </c>
      <c r="F58">
        <f>AVERAGEIFS(Positions!$F:$F,Positions!$A:$A,A58)</f>
        <v>59352745.525</v>
      </c>
      <c r="G58">
        <f>F57</f>
        <v>9996444.48</v>
      </c>
      <c r="H58">
        <f>IF(A58=A57,G58,F58)</f>
        <v>59352745.525</v>
      </c>
      <c r="I58">
        <f>VLOOKUP(F58,'Fee Schedule'!$D$5:$F$8,3,TRUE)</f>
        <v>18.5</v>
      </c>
      <c r="J58">
        <f>IFERROR(VLOOKUP(A58,'Fee Schedule'!$A$5:$B$21,2,FALSE),I58)</f>
        <v>18.5</v>
      </c>
      <c r="K58" t="str">
        <f>INDEX('Entity Map'!$C:$C,MATCH(A58,'Entity Map'!$A:$A,0))</f>
        <v>LuxCo</v>
      </c>
      <c r="L58" t="str">
        <f>INDEX('Entity Map'!$D:$D,MATCH(A58,'Entity Map'!$A:$A,0))</f>
        <v>CC-130</v>
      </c>
      <c r="M58">
        <f>ROUND(F58*J58/10000,2)</f>
        <v>109802.58</v>
      </c>
      <c r="N58">
        <f>DAY(EOMONTH(D58,0))</f>
        <v>30</v>
      </c>
      <c r="O58">
        <f>DATEDIF(D58,EOMONTH(D58,0),"d")+1</f>
        <v>30</v>
      </c>
      <c r="P58">
        <f>ROUND(M58*O58/N58,2)</f>
        <v>109802.58</v>
      </c>
      <c r="Q58">
        <f>MAX(P58,'Fee Schedule'!$I$3)</f>
        <v>109802.58</v>
      </c>
      <c r="R58">
        <f>MIN(Q58,'Fee Schedule'!$I$4)</f>
        <v>109802.58</v>
      </c>
      <c r="S58">
        <f>IFERROR(R58*'Fee Schedule'!$I$5,0)</f>
        <v>2745.0645000000004</v>
      </c>
      <c r="T58">
        <f>ROUND(R58-S58,2)</f>
        <v>107057.52</v>
      </c>
      <c r="U58">
        <f>IFERROR(VLOOKUP(A58,Overrides!$A:$C,3,FALSE),T58)</f>
        <v>107057.52</v>
      </c>
      <c r="V58" t="str">
        <f>IF(U58=T58,"","OVERRIDE")</f>
        <v/>
      </c>
      <c r="W58" t="str">
        <f>LEFT(A58,3)&amp;"-"&amp;E58</f>
        <v>000-2026-11</v>
      </c>
      <c r="X58">
        <f>COUNTIFS(Positions!$A:$A,A58)</f>
        <v>2</v>
      </c>
      <c r="Y58">
        <f>SUM($U$19:U58)</f>
        <v>3441482.69</v>
      </c>
      <c r="Z58" t="str">
        <f>UPPER(TRIM(INDEX('Entity Map'!$E:$E,MATCH(A58,'Entity Map'!$A:$A,0))))</f>
        <v>BALANCED</v>
      </c>
      <c r="AA58">
        <f>SUMIFS(Positions!$F:$F,Positions!$E:$E,Z58)</f>
        <v>2420753390.7000003</v>
      </c>
      <c r="AB58">
        <f>IFERROR(F58/AA58,0)</f>
        <v>0.024518294904809442</v>
      </c>
      <c r="AC58">
        <f>SUMPRODUCT(Positions!$F$18:$F$185,--(Positions!$A$18:$A$185=A58))</f>
        <v>118705491.05</v>
      </c>
      <c r="AD58" t="str">
        <f>IF(U58&gt;40000,"A",IF(U58&gt;8000,"B","C"))</f>
        <v>A</v>
      </c>
      <c r="AE58">
        <f>COUNTIF('Entity Map'!$A:$A,A58)</f>
        <v>1</v>
      </c>
      <c r="AF58">
        <f>MAX(Positions!$C:$C)</f>
        <v>46354</v>
      </c>
      <c r="AG58">
        <f>YEAR(D58)</f>
        <v>2026</v>
      </c>
      <c r="AH58">
        <f>ROUND(F58*$B$14/10000,2)</f>
        <v>154317.14</v>
      </c>
      <c r="AI58">
        <f>AH58-T58</f>
        <v>47259.62000000001</v>
      </c>
      <c r="AJ58">
        <f>AI58*$B$15</f>
        <v>45841.83140000001</v>
      </c>
      <c r="AK58" t="str">
        <f>CONCATENATE(A58," / ",TEXT(AJ58,"0.00"))</f>
        <v>00040 / 45841.83</v>
      </c>
    </row>
    <row r="59">
      <c r="A59" t="inlineStr">
        <is>
          <t>00041</t>
        </is>
      </c>
      <c r="B59" t="str">
        <f>INDEX('Entity Map'!$B:$B,MATCH(A59,'Entity Map'!$A:$A,0))</f>
        <v>Client 041 Holdings</v>
      </c>
      <c r="C59">
        <f>INDEX('Entity Map'!$F:$F,MATCH(A59,'Entity Map'!$A:$A,0))</f>
        <v>45365</v>
      </c>
      <c r="D59">
        <f>MAX(DATE(2026,11,1),C59)</f>
        <v>46327</v>
      </c>
      <c r="E59" t="str">
        <f>TEXT(D59,"yyyy-mm")</f>
        <v>2026-11</v>
      </c>
      <c r="F59">
        <f>AVERAGEIFS(Positions!$F:$F,Positions!$A:$A,A59)</f>
        <v>68019901.2</v>
      </c>
      <c r="G59">
        <f>F58</f>
        <v>59352745.525</v>
      </c>
      <c r="H59">
        <f>IF(A59=A58,G59,F59)</f>
        <v>68019901.2</v>
      </c>
      <c r="I59">
        <f>VLOOKUP(F59,'Fee Schedule'!$D$5:$F$8,3,TRUE)</f>
        <v>18.5</v>
      </c>
      <c r="J59">
        <f>IFERROR(VLOOKUP(A59,'Fee Schedule'!$A$5:$B$21,2,FALSE),I59)</f>
        <v>26</v>
      </c>
      <c r="K59" t="str">
        <f>INDEX('Entity Map'!$C:$C,MATCH(A59,'Entity Map'!$A:$A,0))</f>
        <v>UKCo</v>
      </c>
      <c r="L59" t="str">
        <f>INDEX('Entity Map'!$D:$D,MATCH(A59,'Entity Map'!$A:$A,0))</f>
        <v>CC-140</v>
      </c>
      <c r="M59">
        <f>ROUND(F59*J59/10000,2)</f>
        <v>176851.74</v>
      </c>
      <c r="N59">
        <f>DAY(EOMONTH(D59,0))</f>
        <v>30</v>
      </c>
      <c r="O59">
        <f>DATEDIF(D59,EOMONTH(D59,0),"d")+1</f>
        <v>30</v>
      </c>
      <c r="P59">
        <f>ROUND(M59*O59/N59,2)</f>
        <v>176851.74</v>
      </c>
      <c r="Q59">
        <f>MAX(P59,'Fee Schedule'!$I$3)</f>
        <v>176851.74</v>
      </c>
      <c r="R59">
        <f>MIN(Q59,'Fee Schedule'!$I$4)</f>
        <v>176851.74</v>
      </c>
      <c r="S59">
        <f>IFERROR(R59*'Fee Schedule'!$I$5,0)</f>
        <v>4421.2935</v>
      </c>
      <c r="T59">
        <f>ROUND(R59-S59,2)</f>
        <v>172430.45</v>
      </c>
      <c r="U59">
        <f>IFERROR(VLOOKUP(A59,Overrides!$A:$C,3,FALSE),T59)</f>
        <v>18500</v>
      </c>
      <c r="V59" t="str">
        <f>IF(U59=T59,"","OVERRIDE")</f>
        <v>OVERRIDE</v>
      </c>
      <c r="W59" t="str">
        <f>LEFT(A59,3)&amp;"-"&amp;E59</f>
        <v>000-2026-11</v>
      </c>
      <c r="X59">
        <f>COUNTIFS(Positions!$A:$A,A59)</f>
        <v>2</v>
      </c>
      <c r="Y59">
        <f>SUM($U$19:U59)</f>
        <v>3459982.69</v>
      </c>
      <c r="Z59" t="str">
        <f>UPPER(TRIM(INDEX('Entity Map'!$E:$E,MATCH(A59,'Entity Map'!$A:$A,0))))</f>
        <v>EQUITY</v>
      </c>
      <c r="AA59">
        <f>SUMIFS(Positions!$F:$F,Positions!$E:$E,Z59)</f>
        <v>2806311623.609999</v>
      </c>
      <c r="AB59">
        <f>IFERROR(F59/AA59,0)</f>
        <v>0.02423818532045282</v>
      </c>
      <c r="AC59">
        <f>SUMPRODUCT(Positions!$F$18:$F$185,--(Positions!$A$18:$A$185=A59))</f>
        <v>136039802.4</v>
      </c>
      <c r="AD59" t="str">
        <f>IF(U59&gt;40000,"A",IF(U59&gt;8000,"B","C"))</f>
        <v>B</v>
      </c>
      <c r="AE59">
        <f>COUNTIF('Entity Map'!$A:$A,A59)</f>
        <v>1</v>
      </c>
      <c r="AF59">
        <f>MAX(Positions!$C:$C)</f>
        <v>46354</v>
      </c>
      <c r="AG59">
        <f>YEAR(D59)</f>
        <v>2026</v>
      </c>
      <c r="AH59">
        <f>ROUND(F59*$B$14/10000,2)</f>
        <v>176851.74</v>
      </c>
      <c r="AI59">
        <f>AH59-T59</f>
        <v>4421.289999999979</v>
      </c>
      <c r="AJ59">
        <f>AI59*$B$15</f>
        <v>4288.6512999999795</v>
      </c>
      <c r="AK59" t="str">
        <f>CONCATENATE(A59," / ",TEXT(AJ59,"0.00"))</f>
        <v>00041 / 4288.65</v>
      </c>
    </row>
    <row r="60">
      <c r="A60" t="inlineStr">
        <is>
          <t>00042</t>
        </is>
      </c>
      <c r="B60" t="str">
        <f>INDEX('Entity Map'!$B:$B,MATCH(A60,'Entity Map'!$A:$A,0))</f>
        <v>Client 042 Holdings</v>
      </c>
      <c r="C60">
        <f>INDEX('Entity Map'!$F:$F,MATCH(A60,'Entity Map'!$A:$A,0))</f>
        <v>45366</v>
      </c>
      <c r="D60">
        <f>MAX(DATE(2026,11,1),C60)</f>
        <v>46327</v>
      </c>
      <c r="E60" t="str">
        <f>TEXT(D60,"yyyy-mm")</f>
        <v>2026-11</v>
      </c>
      <c r="F60">
        <f>AVERAGEIFS(Positions!$F:$F,Positions!$A:$A,A60)</f>
        <v>17333865.32</v>
      </c>
      <c r="G60">
        <f>F59</f>
        <v>68019901.2</v>
      </c>
      <c r="H60">
        <f>IF(A60=A59,G60,F60)</f>
        <v>17333865.32</v>
      </c>
      <c r="I60">
        <f>VLOOKUP(F60,'Fee Schedule'!$D$5:$F$8,3,TRUE)</f>
        <v>27.5</v>
      </c>
      <c r="J60">
        <f>IFERROR(VLOOKUP(A60,'Fee Schedule'!$A$5:$B$21,2,FALSE),I60)</f>
        <v>27.5</v>
      </c>
      <c r="K60" t="str">
        <f>INDEX('Entity Map'!$C:$C,MATCH(A60,'Entity Map'!$A:$A,0))</f>
        <v>DubCo</v>
      </c>
      <c r="L60" t="str">
        <f>INDEX('Entity Map'!$D:$D,MATCH(A60,'Entity Map'!$A:$A,0))</f>
        <v>CC-150</v>
      </c>
      <c r="M60">
        <f>ROUND(F60*J60/10000,2)</f>
        <v>47668.13</v>
      </c>
      <c r="N60">
        <f>DAY(EOMONTH(D60,0))</f>
        <v>30</v>
      </c>
      <c r="O60">
        <f>DATEDIF(D60,EOMONTH(D60,0),"d")+1</f>
        <v>30</v>
      </c>
      <c r="P60">
        <f>ROUND(M60*O60/N60,2)</f>
        <v>47668.13</v>
      </c>
      <c r="Q60">
        <f>MAX(P60,'Fee Schedule'!$I$3)</f>
        <v>47668.13</v>
      </c>
      <c r="R60">
        <f>MIN(Q60,'Fee Schedule'!$I$4)</f>
        <v>47668.13</v>
      </c>
      <c r="S60">
        <f>IFERROR(R60*'Fee Schedule'!$I$5,0)</f>
        <v>1191.70325</v>
      </c>
      <c r="T60">
        <f>ROUND(R60-S60,2)</f>
        <v>46476.43</v>
      </c>
      <c r="U60">
        <f>IFERROR(VLOOKUP(A60,Overrides!$A:$C,3,FALSE),T60)</f>
        <v>46476.43</v>
      </c>
      <c r="V60" t="str">
        <f>IF(U60=T60,"","OVERRIDE")</f>
        <v/>
      </c>
      <c r="W60" t="str">
        <f>LEFT(A60,3)&amp;"-"&amp;E60</f>
        <v>000-2026-11</v>
      </c>
      <c r="X60">
        <f>COUNTIFS(Positions!$A:$A,A60)</f>
        <v>2</v>
      </c>
      <c r="Y60">
        <f>SUM($U$19:U60)</f>
        <v>3506459.12</v>
      </c>
      <c r="Z60" t="str">
        <f>UPPER(TRIM(INDEX('Entity Map'!$E:$E,MATCH(A60,'Entity Map'!$A:$A,0))))</f>
        <v>FIXED INCOME</v>
      </c>
      <c r="AA60">
        <f>SUMIFS(Positions!$F:$F,Positions!$E:$E,Z60)</f>
        <v>2496645976.4</v>
      </c>
      <c r="AB60">
        <f>IFERROR(F60/AA60,0)</f>
        <v>0.0069428607355033565</v>
      </c>
      <c r="AC60">
        <f>SUMPRODUCT(Positions!$F$18:$F$185,--(Positions!$A$18:$A$185=A60))</f>
        <v>34667730.64</v>
      </c>
      <c r="AD60" t="str">
        <f>IF(U60&gt;40000,"A",IF(U60&gt;8000,"B","C"))</f>
        <v>A</v>
      </c>
      <c r="AE60">
        <f>COUNTIF('Entity Map'!$A:$A,A60)</f>
        <v>1</v>
      </c>
      <c r="AF60">
        <f>MAX(Positions!$C:$C)</f>
        <v>46354</v>
      </c>
      <c r="AG60">
        <f>YEAR(D60)</f>
        <v>2026</v>
      </c>
      <c r="AH60">
        <f>ROUND(F60*$B$14/10000,2)</f>
        <v>45068.05</v>
      </c>
      <c r="AI60">
        <f>AH60-T60</f>
        <v>-1408.3799999999974</v>
      </c>
      <c r="AJ60">
        <f>AI60*$B$15</f>
        <v>-1366.1285999999975</v>
      </c>
      <c r="AK60" t="str">
        <f>CONCATENATE(A60," / ",TEXT(AJ60,"0.00"))</f>
        <v>00042 / -1366.13</v>
      </c>
    </row>
    <row r="61">
      <c r="A61" t="inlineStr">
        <is>
          <t>00043</t>
        </is>
      </c>
      <c r="B61" t="str">
        <f>INDEX('Entity Map'!$B:$B,MATCH(A61,'Entity Map'!$A:$A,0))</f>
        <v>Client 043 Holdings</v>
      </c>
      <c r="C61">
        <f>INDEX('Entity Map'!$F:$F,MATCH(A61,'Entity Map'!$A:$A,0))</f>
        <v>45367</v>
      </c>
      <c r="D61">
        <f>MAX(DATE(2026,11,1),C61)</f>
        <v>46327</v>
      </c>
      <c r="E61" t="str">
        <f>TEXT(D61,"yyyy-mm")</f>
        <v>2026-11</v>
      </c>
      <c r="F61">
        <f>AVERAGEIFS(Positions!$F:$F,Positions!$A:$A,A61)</f>
        <v>40709886.230000004</v>
      </c>
      <c r="G61">
        <f>F60</f>
        <v>17333865.32</v>
      </c>
      <c r="H61">
        <f>IF(A61=A60,G61,F61)</f>
        <v>40709886.230000004</v>
      </c>
      <c r="I61">
        <f>VLOOKUP(F61,'Fee Schedule'!$D$5:$F$8,3,TRUE)</f>
        <v>22</v>
      </c>
      <c r="J61">
        <f>IFERROR(VLOOKUP(A61,'Fee Schedule'!$A$5:$B$21,2,FALSE),I61)</f>
        <v>22</v>
      </c>
      <c r="K61" t="str">
        <f>INDEX('Entity Map'!$C:$C,MATCH(A61,'Entity Map'!$A:$A,0))</f>
        <v>LuxCo</v>
      </c>
      <c r="L61" t="str">
        <f>INDEX('Entity Map'!$D:$D,MATCH(A61,'Entity Map'!$A:$A,0))</f>
        <v>CC-100</v>
      </c>
      <c r="M61">
        <f>ROUND(F61*J61/10000,2)</f>
        <v>89561.75</v>
      </c>
      <c r="N61">
        <f>DAY(EOMONTH(D61,0))</f>
        <v>30</v>
      </c>
      <c r="O61">
        <f>DATEDIF(D61,EOMONTH(D61,0),"d")+1</f>
        <v>30</v>
      </c>
      <c r="P61">
        <f>ROUND(M61*O61/N61,2)</f>
        <v>89561.75</v>
      </c>
      <c r="Q61">
        <f>MAX(P61,'Fee Schedule'!$I$3)</f>
        <v>89561.75</v>
      </c>
      <c r="R61">
        <f>MIN(Q61,'Fee Schedule'!$I$4)</f>
        <v>89561.75</v>
      </c>
      <c r="S61">
        <f>IFERROR(R61*'Fee Schedule'!$I$5,0)</f>
        <v>2239.0437500000003</v>
      </c>
      <c r="T61">
        <f>ROUND(R61-S61,2)</f>
        <v>87322.71</v>
      </c>
      <c r="U61">
        <f>IFERROR(VLOOKUP(A61,Overrides!$A:$C,3,FALSE),T61)</f>
        <v>87322.71</v>
      </c>
      <c r="V61" t="str">
        <f>IF(U61=T61,"","OVERRIDE")</f>
        <v/>
      </c>
      <c r="W61" t="str">
        <f>LEFT(A61,3)&amp;"-"&amp;E61</f>
        <v>000-2026-11</v>
      </c>
      <c r="X61">
        <f>COUNTIFS(Positions!$A:$A,A61)</f>
        <v>2</v>
      </c>
      <c r="Y61">
        <f>SUM($U$19:U61)</f>
        <v>3593781.83</v>
      </c>
      <c r="Z61" t="str">
        <f>UPPER(TRIM(INDEX('Entity Map'!$E:$E,MATCH(A61,'Entity Map'!$A:$A,0))))</f>
        <v>BALANCED</v>
      </c>
      <c r="AA61">
        <f>SUMIFS(Positions!$F:$F,Positions!$E:$E,Z61)</f>
        <v>2420753390.7000003</v>
      </c>
      <c r="AB61">
        <f>IFERROR(F61/AA61,0)</f>
        <v>0.016817031584629147</v>
      </c>
      <c r="AC61">
        <f>SUMPRODUCT(Positions!$F$18:$F$185,--(Positions!$A$18:$A$185=A61))</f>
        <v>81419772.46000001</v>
      </c>
      <c r="AD61" t="str">
        <f>IF(U61&gt;40000,"A",IF(U61&gt;8000,"B","C"))</f>
        <v>A</v>
      </c>
      <c r="AE61">
        <f>COUNTIF('Entity Map'!$A:$A,A61)</f>
        <v>1</v>
      </c>
      <c r="AF61">
        <f>MAX(Positions!$C:$C)</f>
        <v>46354</v>
      </c>
      <c r="AG61">
        <f>YEAR(D61)</f>
        <v>2026</v>
      </c>
      <c r="AH61">
        <f>ROUND(F61*$B$14/10000,2)</f>
        <v>105845.7</v>
      </c>
      <c r="AI61">
        <f>AH61-T61</f>
        <v>18522.98999999999</v>
      </c>
      <c r="AJ61">
        <f>AI61*$B$15</f>
        <v>17967.30029999999</v>
      </c>
      <c r="AK61" t="str">
        <f>CONCATENATE(A61," / ",TEXT(AJ61,"0.00"))</f>
        <v>00043 / 17967.30</v>
      </c>
    </row>
    <row r="62">
      <c r="A62" t="inlineStr">
        <is>
          <t>00044</t>
        </is>
      </c>
      <c r="B62" t="str">
        <f>INDEX('Entity Map'!$B:$B,MATCH(A62,'Entity Map'!$A:$A,0))</f>
        <v>Client 044 Holdings</v>
      </c>
      <c r="C62">
        <f>INDEX('Entity Map'!$F:$F,MATCH(A62,'Entity Map'!$A:$A,0))</f>
        <v>45368</v>
      </c>
      <c r="D62">
        <f>MAX(DATE(2026,11,1),C62)</f>
        <v>46327</v>
      </c>
      <c r="E62" t="str">
        <f>TEXT(D62,"yyyy-mm")</f>
        <v>2026-11</v>
      </c>
      <c r="F62">
        <f>AVERAGEIFS(Positions!$F:$F,Positions!$A:$A,A62)</f>
        <v>49646138.22</v>
      </c>
      <c r="G62">
        <f>F61</f>
        <v>40709886.230000004</v>
      </c>
      <c r="H62">
        <f>IF(A62=A61,G62,F62)</f>
        <v>49646138.22</v>
      </c>
      <c r="I62">
        <f>VLOOKUP(F62,'Fee Schedule'!$D$5:$F$8,3,TRUE)</f>
        <v>22</v>
      </c>
      <c r="J62">
        <f>IFERROR(VLOOKUP(A62,'Fee Schedule'!$A$5:$B$21,2,FALSE),I62)</f>
        <v>22</v>
      </c>
      <c r="K62" t="str">
        <f>INDEX('Entity Map'!$C:$C,MATCH(A62,'Entity Map'!$A:$A,0))</f>
        <v>UKCo</v>
      </c>
      <c r="L62" t="str">
        <f>INDEX('Entity Map'!$D:$D,MATCH(A62,'Entity Map'!$A:$A,0))</f>
        <v>CC-110</v>
      </c>
      <c r="M62">
        <f>ROUND(F62*J62/10000,2)</f>
        <v>109221.5</v>
      </c>
      <c r="N62">
        <f>DAY(EOMONTH(D62,0))</f>
        <v>30</v>
      </c>
      <c r="O62">
        <f>DATEDIF(D62,EOMONTH(D62,0),"d")+1</f>
        <v>30</v>
      </c>
      <c r="P62">
        <f>ROUND(M62*O62/N62,2)</f>
        <v>109221.5</v>
      </c>
      <c r="Q62">
        <f>MAX(P62,'Fee Schedule'!$I$3)</f>
        <v>109221.5</v>
      </c>
      <c r="R62">
        <f>MIN(Q62,'Fee Schedule'!$I$4)</f>
        <v>109221.5</v>
      </c>
      <c r="S62">
        <f>IFERROR(R62*'Fee Schedule'!$I$5,0)</f>
        <v>2730.5375000000004</v>
      </c>
      <c r="T62">
        <f>ROUND(R62-S62,2)</f>
        <v>106490.96</v>
      </c>
      <c r="U62">
        <f>IFERROR(VLOOKUP(A62,Overrides!$A:$C,3,FALSE),T62)</f>
        <v>106490.96</v>
      </c>
      <c r="V62" t="str">
        <f>IF(U62=T62,"","OVERRIDE")</f>
        <v/>
      </c>
      <c r="W62" t="str">
        <f>LEFT(A62,3)&amp;"-"&amp;E62</f>
        <v>000-2026-11</v>
      </c>
      <c r="X62">
        <f>COUNTIFS(Positions!$A:$A,A62)</f>
        <v>2</v>
      </c>
      <c r="Y62">
        <f>SUM($U$19:U62)</f>
        <v>3700272.79</v>
      </c>
      <c r="Z62" t="str">
        <f>UPPER(TRIM(INDEX('Entity Map'!$E:$E,MATCH(A62,'Entity Map'!$A:$A,0))))</f>
        <v>EQUITY</v>
      </c>
      <c r="AA62">
        <f>SUMIFS(Positions!$F:$F,Positions!$E:$E,Z62)</f>
        <v>2806311623.609999</v>
      </c>
      <c r="AB62">
        <f>IFERROR(F62/AA62,0)</f>
        <v>0.01769088571715208</v>
      </c>
      <c r="AC62">
        <f>SUMPRODUCT(Positions!$F$18:$F$185,--(Positions!$A$18:$A$185=A62))</f>
        <v>99292276.44</v>
      </c>
      <c r="AD62" t="str">
        <f>IF(U62&gt;40000,"A",IF(U62&gt;8000,"B","C"))</f>
        <v>A</v>
      </c>
      <c r="AE62">
        <f>COUNTIF('Entity Map'!$A:$A,A62)</f>
        <v>1</v>
      </c>
      <c r="AF62">
        <f>MAX(Positions!$C:$C)</f>
        <v>46354</v>
      </c>
      <c r="AG62">
        <f>YEAR(D62)</f>
        <v>2026</v>
      </c>
      <c r="AH62">
        <f>ROUND(F62*$B$14/10000,2)</f>
        <v>129079.96</v>
      </c>
      <c r="AI62">
        <f>AH62-T62</f>
        <v>22589</v>
      </c>
      <c r="AJ62">
        <f>AI62*$B$15</f>
        <v>21911.329999999998</v>
      </c>
      <c r="AK62" t="str">
        <f>CONCATENATE(A62," / ",TEXT(AJ62,"0.00"))</f>
        <v>00044 / 21911.33</v>
      </c>
    </row>
    <row r="63">
      <c r="A63" t="inlineStr">
        <is>
          <t>00045</t>
        </is>
      </c>
      <c r="B63" t="str">
        <f>INDEX('Entity Map'!$B:$B,MATCH(A63,'Entity Map'!$A:$A,0))</f>
        <v>Client 045 Holdings</v>
      </c>
      <c r="C63">
        <f>INDEX('Entity Map'!$F:$F,MATCH(A63,'Entity Map'!$A:$A,0))</f>
        <v>45369</v>
      </c>
      <c r="D63">
        <f>MAX(DATE(2026,11,1),C63)</f>
        <v>46327</v>
      </c>
      <c r="E63" t="str">
        <f>TEXT(D63,"yyyy-mm")</f>
        <v>2026-11</v>
      </c>
      <c r="F63">
        <f>AVERAGEIFS(Positions!$F:$F,Positions!$A:$A,A63)</f>
        <v>58045417.18000001</v>
      </c>
      <c r="G63">
        <f>F62</f>
        <v>49646138.22</v>
      </c>
      <c r="H63">
        <f>IF(A63=A62,G63,F63)</f>
        <v>58045417.18000001</v>
      </c>
      <c r="I63">
        <f>VLOOKUP(F63,'Fee Schedule'!$D$5:$F$8,3,TRUE)</f>
        <v>18.5</v>
      </c>
      <c r="J63">
        <f>IFERROR(VLOOKUP(A63,'Fee Schedule'!$A$5:$B$21,2,FALSE),I63)</f>
        <v>18.5</v>
      </c>
      <c r="K63" t="str">
        <f>INDEX('Entity Map'!$C:$C,MATCH(A63,'Entity Map'!$A:$A,0))</f>
        <v>DubCo</v>
      </c>
      <c r="L63" t="str">
        <f>INDEX('Entity Map'!$D:$D,MATCH(A63,'Entity Map'!$A:$A,0))</f>
        <v>CC-120</v>
      </c>
      <c r="M63">
        <f>ROUND(F63*J63/10000,2)</f>
        <v>107384.02</v>
      </c>
      <c r="N63">
        <f>DAY(EOMONTH(D63,0))</f>
        <v>30</v>
      </c>
      <c r="O63">
        <f>DATEDIF(D63,EOMONTH(D63,0),"d")+1</f>
        <v>30</v>
      </c>
      <c r="P63">
        <f>ROUND(M63*O63/N63,2)</f>
        <v>107384.02</v>
      </c>
      <c r="Q63">
        <f>MAX(P63,'Fee Schedule'!$I$3)</f>
        <v>107384.02</v>
      </c>
      <c r="R63">
        <f>MIN(Q63,'Fee Schedule'!$I$4)</f>
        <v>107384.02</v>
      </c>
      <c r="S63">
        <f>IFERROR(R63*'Fee Schedule'!$I$5,0)</f>
        <v>2684.6005000000005</v>
      </c>
      <c r="T63">
        <f>ROUND(R63-S63,2)</f>
        <v>104699.42</v>
      </c>
      <c r="U63">
        <f>IFERROR(VLOOKUP(A63,Overrides!$A:$C,3,FALSE),T63)</f>
        <v>104699.42</v>
      </c>
      <c r="V63" t="str">
        <f>IF(U63=T63,"","OVERRIDE")</f>
        <v/>
      </c>
      <c r="W63" t="str">
        <f>LEFT(A63,3)&amp;"-"&amp;E63</f>
        <v>000-2026-11</v>
      </c>
      <c r="X63">
        <f>COUNTIFS(Positions!$A:$A,A63)</f>
        <v>2</v>
      </c>
      <c r="Y63">
        <f>SUM($U$19:U63)</f>
        <v>3804972.21</v>
      </c>
      <c r="Z63" t="str">
        <f>UPPER(TRIM(INDEX('Entity Map'!$E:$E,MATCH(A63,'Entity Map'!$A:$A,0))))</f>
        <v>FIXED INCOME</v>
      </c>
      <c r="AA63">
        <f>SUMIFS(Positions!$F:$F,Positions!$E:$E,Z63)</f>
        <v>2496645976.4</v>
      </c>
      <c r="AB63">
        <f>IFERROR(F63/AA63,0)</f>
        <v>0.023249358430744632</v>
      </c>
      <c r="AC63">
        <f>SUMPRODUCT(Positions!$F$18:$F$185,--(Positions!$A$18:$A$185=A63))</f>
        <v>116090834.36000001</v>
      </c>
      <c r="AD63" t="str">
        <f>IF(U63&gt;40000,"A",IF(U63&gt;8000,"B","C"))</f>
        <v>A</v>
      </c>
      <c r="AE63">
        <f>COUNTIF('Entity Map'!$A:$A,A63)</f>
        <v>1</v>
      </c>
      <c r="AF63">
        <f>MAX(Positions!$C:$C)</f>
        <v>46354</v>
      </c>
      <c r="AG63">
        <f>YEAR(D63)</f>
        <v>2026</v>
      </c>
      <c r="AH63">
        <f>ROUND(F63*$B$14/10000,2)</f>
        <v>150918.08</v>
      </c>
      <c r="AI63">
        <f>AH63-T63</f>
        <v>46218.65999999999</v>
      </c>
      <c r="AJ63">
        <f>AI63*$B$15</f>
        <v>44832.100199999986</v>
      </c>
      <c r="AK63" t="str">
        <f>CONCATENATE(A63," / ",TEXT(AJ63,"0.00"))</f>
        <v>00045 / 44832.10</v>
      </c>
    </row>
    <row r="64">
      <c r="A64" t="inlineStr">
        <is>
          <t>00046</t>
        </is>
      </c>
      <c r="B64" t="str">
        <f>INDEX('Entity Map'!$B:$B,MATCH(A64,'Entity Map'!$A:$A,0))</f>
        <v>Client 046 Holdings</v>
      </c>
      <c r="C64">
        <f>INDEX('Entity Map'!$F:$F,MATCH(A64,'Entity Map'!$A:$A,0))</f>
        <v>45370</v>
      </c>
      <c r="D64">
        <f>MAX(DATE(2026,11,1),C64)</f>
        <v>46327</v>
      </c>
      <c r="E64" t="str">
        <f>TEXT(D64,"yyyy-mm")</f>
        <v>2026-11</v>
      </c>
      <c r="F64">
        <f>AVERAGEIFS(Positions!$F:$F,Positions!$A:$A,A64)</f>
        <v>34758382.78</v>
      </c>
      <c r="G64">
        <f>F63</f>
        <v>58045417.18000001</v>
      </c>
      <c r="H64">
        <f>IF(A64=A63,G64,F64)</f>
        <v>34758382.78</v>
      </c>
      <c r="I64">
        <f>VLOOKUP(F64,'Fee Schedule'!$D$5:$F$8,3,TRUE)</f>
        <v>22</v>
      </c>
      <c r="J64">
        <f>IFERROR(VLOOKUP(A64,'Fee Schedule'!$A$5:$B$21,2,FALSE),I64)</f>
        <v>20</v>
      </c>
      <c r="K64" t="str">
        <f>INDEX('Entity Map'!$C:$C,MATCH(A64,'Entity Map'!$A:$A,0))</f>
        <v>LuxCo</v>
      </c>
      <c r="L64" t="str">
        <f>INDEX('Entity Map'!$D:$D,MATCH(A64,'Entity Map'!$A:$A,0))</f>
        <v>CC-130</v>
      </c>
      <c r="M64">
        <f>ROUND(F64*J64/10000,2)</f>
        <v>69516.77</v>
      </c>
      <c r="N64">
        <f>DAY(EOMONTH(D64,0))</f>
        <v>30</v>
      </c>
      <c r="O64">
        <f>DATEDIF(D64,EOMONTH(D64,0),"d")+1</f>
        <v>30</v>
      </c>
      <c r="P64">
        <f>ROUND(M64*O64/N64,2)</f>
        <v>69516.77</v>
      </c>
      <c r="Q64">
        <f>MAX(P64,'Fee Schedule'!$I$3)</f>
        <v>69516.77</v>
      </c>
      <c r="R64">
        <f>MIN(Q64,'Fee Schedule'!$I$4)</f>
        <v>69516.77</v>
      </c>
      <c r="S64">
        <f>IFERROR(R64*'Fee Schedule'!$I$5,0)</f>
        <v>1737.9192500000001</v>
      </c>
      <c r="T64">
        <f>ROUND(R64-S64,2)</f>
        <v>67778.85</v>
      </c>
      <c r="U64">
        <f>IFERROR(VLOOKUP(A64,Overrides!$A:$C,3,FALSE),T64)</f>
        <v>67778.85</v>
      </c>
      <c r="V64" t="str">
        <f>IF(U64=T64,"","OVERRIDE")</f>
        <v/>
      </c>
      <c r="W64" t="str">
        <f>LEFT(A64,3)&amp;"-"&amp;E64</f>
        <v>000-2026-11</v>
      </c>
      <c r="X64">
        <f>COUNTIFS(Positions!$A:$A,A64)</f>
        <v>2</v>
      </c>
      <c r="Y64">
        <f>SUM($U$19:U64)</f>
        <v>3872751.06</v>
      </c>
      <c r="Z64" t="str">
        <f>UPPER(TRIM(INDEX('Entity Map'!$E:$E,MATCH(A64,'Entity Map'!$A:$A,0))))</f>
        <v>BALANCED</v>
      </c>
      <c r="AA64">
        <f>SUMIFS(Positions!$F:$F,Positions!$E:$E,Z64)</f>
        <v>2420753390.7000003</v>
      </c>
      <c r="AB64">
        <f>IFERROR(F64/AA64,0)</f>
        <v>0.014358498025256941</v>
      </c>
      <c r="AC64">
        <f>SUMPRODUCT(Positions!$F$18:$F$185,--(Positions!$A$18:$A$185=A64))</f>
        <v>69516765.56</v>
      </c>
      <c r="AD64" t="str">
        <f>IF(U64&gt;40000,"A",IF(U64&gt;8000,"B","C"))</f>
        <v>A</v>
      </c>
      <c r="AE64">
        <f>COUNTIF('Entity Map'!$A:$A,A64)</f>
        <v>1</v>
      </c>
      <c r="AF64">
        <f>MAX(Positions!$C:$C)</f>
        <v>46354</v>
      </c>
      <c r="AG64">
        <f>YEAR(D64)</f>
        <v>2026</v>
      </c>
      <c r="AH64">
        <f>ROUND(F64*$B$14/10000,2)</f>
        <v>90371.8</v>
      </c>
      <c r="AI64">
        <f>AH64-T64</f>
        <v>22592.949999999997</v>
      </c>
      <c r="AJ64">
        <f>AI64*$B$15</f>
        <v>21915.1615</v>
      </c>
      <c r="AK64" t="str">
        <f>CONCATENATE(A64," / ",TEXT(AJ64,"0.00"))</f>
        <v>00046 / 21915.16</v>
      </c>
    </row>
    <row r="65">
      <c r="A65" t="inlineStr">
        <is>
          <t>00047</t>
        </is>
      </c>
      <c r="B65" t="str">
        <f>INDEX('Entity Map'!$B:$B,MATCH(A65,'Entity Map'!$A:$A,0))</f>
        <v>Client 047 Holdings</v>
      </c>
      <c r="C65">
        <f>INDEX('Entity Map'!$F:$F,MATCH(A65,'Entity Map'!$A:$A,0))</f>
        <v>45371</v>
      </c>
      <c r="D65">
        <f>MAX(DATE(2026,11,1),C65)</f>
        <v>46327</v>
      </c>
      <c r="E65" t="str">
        <f>TEXT(D65,"yyyy-mm")</f>
        <v>2026-11</v>
      </c>
      <c r="F65">
        <f>AVERAGEIFS(Positions!$F:$F,Positions!$A:$A,A65)</f>
        <v>56245837.505</v>
      </c>
      <c r="G65">
        <f>F64</f>
        <v>34758382.78</v>
      </c>
      <c r="H65">
        <f>IF(A65=A64,G65,F65)</f>
        <v>56245837.505</v>
      </c>
      <c r="I65">
        <f>VLOOKUP(F65,'Fee Schedule'!$D$5:$F$8,3,TRUE)</f>
        <v>18.5</v>
      </c>
      <c r="J65">
        <f>IFERROR(VLOOKUP(A65,'Fee Schedule'!$A$5:$B$21,2,FALSE),I65)</f>
        <v>18.5</v>
      </c>
      <c r="K65" t="str">
        <f>INDEX('Entity Map'!$C:$C,MATCH(A65,'Entity Map'!$A:$A,0))</f>
        <v>UKCo</v>
      </c>
      <c r="L65" t="str">
        <f>INDEX('Entity Map'!$D:$D,MATCH(A65,'Entity Map'!$A:$A,0))</f>
        <v>CC-140</v>
      </c>
      <c r="M65">
        <f>ROUND(F65*J65/10000,2)</f>
        <v>104054.8</v>
      </c>
      <c r="N65">
        <f>DAY(EOMONTH(D65,0))</f>
        <v>30</v>
      </c>
      <c r="O65">
        <f>DATEDIF(D65,EOMONTH(D65,0),"d")+1</f>
        <v>30</v>
      </c>
      <c r="P65">
        <f>ROUND(M65*O65/N65,2)</f>
        <v>104054.8</v>
      </c>
      <c r="Q65">
        <f>MAX(P65,'Fee Schedule'!$I$3)</f>
        <v>104054.8</v>
      </c>
      <c r="R65">
        <f>MIN(Q65,'Fee Schedule'!$I$4)</f>
        <v>104054.8</v>
      </c>
      <c r="S65">
        <f>IFERROR(R65*'Fee Schedule'!$I$5,0)</f>
        <v>2601.3700000000003</v>
      </c>
      <c r="T65">
        <f>ROUND(R65-S65,2)</f>
        <v>101453.43</v>
      </c>
      <c r="U65">
        <f>IFERROR(VLOOKUP(A65,Overrides!$A:$C,3,FALSE),T65)</f>
        <v>101453.43</v>
      </c>
      <c r="V65" t="str">
        <f>IF(U65=T65,"","OVERRIDE")</f>
        <v/>
      </c>
      <c r="W65" t="str">
        <f>LEFT(A65,3)&amp;"-"&amp;E65</f>
        <v>000-2026-11</v>
      </c>
      <c r="X65">
        <f>COUNTIFS(Positions!$A:$A,A65)</f>
        <v>2</v>
      </c>
      <c r="Y65">
        <f>SUM($U$19:U65)</f>
        <v>3974204.49</v>
      </c>
      <c r="Z65" t="str">
        <f>UPPER(TRIM(INDEX('Entity Map'!$E:$E,MATCH(A65,'Entity Map'!$A:$A,0))))</f>
        <v>EQUITY</v>
      </c>
      <c r="AA65">
        <f>SUMIFS(Positions!$F:$F,Positions!$E:$E,Z65)</f>
        <v>2806311623.609999</v>
      </c>
      <c r="AB65">
        <f>IFERROR(F65/AA65,0)</f>
        <v>0.020042620011189692</v>
      </c>
      <c r="AC65">
        <f>SUMPRODUCT(Positions!$F$18:$F$185,--(Positions!$A$18:$A$185=A65))</f>
        <v>112491675.01</v>
      </c>
      <c r="AD65" t="str">
        <f>IF(U65&gt;40000,"A",IF(U65&gt;8000,"B","C"))</f>
        <v>A</v>
      </c>
      <c r="AE65">
        <f>COUNTIF('Entity Map'!$A:$A,A65)</f>
        <v>1</v>
      </c>
      <c r="AF65">
        <f>MAX(Positions!$C:$C)</f>
        <v>46354</v>
      </c>
      <c r="AG65">
        <f>YEAR(D65)</f>
        <v>2026</v>
      </c>
      <c r="AH65">
        <f>ROUND(F65*$B$14/10000,2)</f>
        <v>146239.18</v>
      </c>
      <c r="AI65">
        <f>AH65-T65</f>
        <v>44785.75</v>
      </c>
      <c r="AJ65">
        <f>AI65*$B$15</f>
        <v>43442.1775</v>
      </c>
      <c r="AK65" t="str">
        <f>CONCATENATE(A65," / ",TEXT(AJ65,"0.00"))</f>
        <v>00047 / 43442.18</v>
      </c>
    </row>
    <row r="66">
      <c r="A66" t="inlineStr">
        <is>
          <t>00048</t>
        </is>
      </c>
      <c r="B66" t="str">
        <f>INDEX('Entity Map'!$B:$B,MATCH(A66,'Entity Map'!$A:$A,0))</f>
        <v>Client 048 Holdings</v>
      </c>
      <c r="C66">
        <f>INDEX('Entity Map'!$F:$F,MATCH(A66,'Entity Map'!$A:$A,0))</f>
        <v>45372</v>
      </c>
      <c r="D66">
        <f>MAX(DATE(2026,11,1),C66)</f>
        <v>46327</v>
      </c>
      <c r="E66" t="str">
        <f>TEXT(D66,"yyyy-mm")</f>
        <v>2026-11</v>
      </c>
      <c r="F66">
        <f>AVERAGEIFS(Positions!$F:$F,Positions!$A:$A,A66)</f>
        <v>49647248.2</v>
      </c>
      <c r="G66">
        <f>F65</f>
        <v>56245837.505</v>
      </c>
      <c r="H66">
        <f>IF(A66=A65,G66,F66)</f>
        <v>49647248.2</v>
      </c>
      <c r="I66">
        <f>VLOOKUP(F66,'Fee Schedule'!$D$5:$F$8,3,TRUE)</f>
        <v>22</v>
      </c>
      <c r="J66">
        <f>IFERROR(VLOOKUP(A66,'Fee Schedule'!$A$5:$B$21,2,FALSE),I66)</f>
        <v>22</v>
      </c>
      <c r="K66" t="str">
        <f>INDEX('Entity Map'!$C:$C,MATCH(A66,'Entity Map'!$A:$A,0))</f>
        <v>DubCo</v>
      </c>
      <c r="L66" t="str">
        <f>INDEX('Entity Map'!$D:$D,MATCH(A66,'Entity Map'!$A:$A,0))</f>
        <v>CC-150</v>
      </c>
      <c r="M66">
        <f>ROUND(F66*J66/10000,2)</f>
        <v>109223.95</v>
      </c>
      <c r="N66">
        <f>DAY(EOMONTH(D66,0))</f>
        <v>30</v>
      </c>
      <c r="O66">
        <f>DATEDIF(D66,EOMONTH(D66,0),"d")+1</f>
        <v>30</v>
      </c>
      <c r="P66">
        <f>ROUND(M66*O66/N66,2)</f>
        <v>109223.95</v>
      </c>
      <c r="Q66">
        <f>MAX(P66,'Fee Schedule'!$I$3)</f>
        <v>109223.95</v>
      </c>
      <c r="R66">
        <f>MIN(Q66,'Fee Schedule'!$I$4)</f>
        <v>109223.95</v>
      </c>
      <c r="S66">
        <f>IFERROR(R66*'Fee Schedule'!$I$5,0)</f>
        <v>2730.59875</v>
      </c>
      <c r="T66">
        <f>ROUND(R66-S66,2)</f>
        <v>106493.35</v>
      </c>
      <c r="U66">
        <f>IFERROR(VLOOKUP(A66,Overrides!$A:$C,3,FALSE),T66)</f>
        <v>106493.35</v>
      </c>
      <c r="V66" t="str">
        <f>IF(U66=T66,"","OVERRIDE")</f>
        <v/>
      </c>
      <c r="W66" t="str">
        <f>LEFT(A66,3)&amp;"-"&amp;E66</f>
        <v>000-2026-11</v>
      </c>
      <c r="X66">
        <f>COUNTIFS(Positions!$A:$A,A66)</f>
        <v>2</v>
      </c>
      <c r="Y66">
        <f>SUM($U$19:U66)</f>
        <v>4080697.84</v>
      </c>
      <c r="Z66" t="str">
        <f>UPPER(TRIM(INDEX('Entity Map'!$E:$E,MATCH(A66,'Entity Map'!$A:$A,0))))</f>
        <v>FIXED INCOME</v>
      </c>
      <c r="AA66">
        <f>SUMIFS(Positions!$F:$F,Positions!$E:$E,Z66)</f>
        <v>2496645976.4</v>
      </c>
      <c r="AB66">
        <f>IFERROR(F66/AA66,0)</f>
        <v>0.019885577959109797</v>
      </c>
      <c r="AC66">
        <f>SUMPRODUCT(Positions!$F$18:$F$185,--(Positions!$A$18:$A$185=A66))</f>
        <v>99294496.4</v>
      </c>
      <c r="AD66" t="str">
        <f>IF(U66&gt;40000,"A",IF(U66&gt;8000,"B","C"))</f>
        <v>A</v>
      </c>
      <c r="AE66">
        <f>COUNTIF('Entity Map'!$A:$A,A66)</f>
        <v>1</v>
      </c>
      <c r="AF66">
        <f>MAX(Positions!$C:$C)</f>
        <v>46354</v>
      </c>
      <c r="AG66">
        <f>YEAR(D66)</f>
        <v>2026</v>
      </c>
      <c r="AH66">
        <f>ROUND(F66*$B$14/10000,2)</f>
        <v>129082.85</v>
      </c>
      <c r="AI66">
        <f>AH66-T66</f>
        <v>22589.5</v>
      </c>
      <c r="AJ66">
        <f>AI66*$B$15</f>
        <v>21911.815</v>
      </c>
      <c r="AK66" t="str">
        <f>CONCATENATE(A66," / ",TEXT(AJ66,"0.00"))</f>
        <v>00048 / 21911.82</v>
      </c>
    </row>
    <row r="67">
      <c r="A67" t="inlineStr">
        <is>
          <t>00049</t>
        </is>
      </c>
      <c r="B67" t="str">
        <f>INDEX('Entity Map'!$B:$B,MATCH(A67,'Entity Map'!$A:$A,0))</f>
        <v>Client 049 Holdings</v>
      </c>
      <c r="C67">
        <f>INDEX('Entity Map'!$F:$F,MATCH(A67,'Entity Map'!$A:$A,0))</f>
        <v>45373</v>
      </c>
      <c r="D67">
        <f>MAX(DATE(2026,11,1),C67)</f>
        <v>46327</v>
      </c>
      <c r="E67" t="str">
        <f>TEXT(D67,"yyyy-mm")</f>
        <v>2026-11</v>
      </c>
      <c r="F67">
        <f>AVERAGEIFS(Positions!$F:$F,Positions!$A:$A,A67)</f>
        <v>62197847.2</v>
      </c>
      <c r="G67">
        <f>F66</f>
        <v>49647248.2</v>
      </c>
      <c r="H67">
        <f>IF(A67=A66,G67,F67)</f>
        <v>62197847.2</v>
      </c>
      <c r="I67">
        <f>VLOOKUP(F67,'Fee Schedule'!$D$5:$F$8,3,TRUE)</f>
        <v>18.5</v>
      </c>
      <c r="J67">
        <f>IFERROR(VLOOKUP(A67,'Fee Schedule'!$A$5:$B$21,2,FALSE),I67)</f>
        <v>18.5</v>
      </c>
      <c r="K67" t="str">
        <f>INDEX('Entity Map'!$C:$C,MATCH(A67,'Entity Map'!$A:$A,0))</f>
        <v>LuxCo</v>
      </c>
      <c r="L67" t="str">
        <f>INDEX('Entity Map'!$D:$D,MATCH(A67,'Entity Map'!$A:$A,0))</f>
        <v>CC-100</v>
      </c>
      <c r="M67">
        <f>ROUND(F67*J67/10000,2)</f>
        <v>115066.02</v>
      </c>
      <c r="N67">
        <f>DAY(EOMONTH(D67,0))</f>
        <v>30</v>
      </c>
      <c r="O67">
        <f>DATEDIF(D67,EOMONTH(D67,0),"d")+1</f>
        <v>30</v>
      </c>
      <c r="P67">
        <f>ROUND(M67*O67/N67,2)</f>
        <v>115066.02</v>
      </c>
      <c r="Q67">
        <f>MAX(P67,'Fee Schedule'!$I$3)</f>
        <v>115066.02</v>
      </c>
      <c r="R67">
        <f>MIN(Q67,'Fee Schedule'!$I$4)</f>
        <v>115066.02</v>
      </c>
      <c r="S67">
        <f>IFERROR(R67*'Fee Schedule'!$I$5,0)</f>
        <v>2876.6505</v>
      </c>
      <c r="T67">
        <f>ROUND(R67-S67,2)</f>
        <v>112189.37</v>
      </c>
      <c r="U67">
        <f>IFERROR(VLOOKUP(A67,Overrides!$A:$C,3,FALSE),T67)</f>
        <v>112189.37</v>
      </c>
      <c r="V67" t="str">
        <f>IF(U67=T67,"","OVERRIDE")</f>
        <v/>
      </c>
      <c r="W67" t="str">
        <f>LEFT(A67,3)&amp;"-"&amp;E67</f>
        <v>000-2026-11</v>
      </c>
      <c r="X67">
        <f>COUNTIFS(Positions!$A:$A,A67)</f>
        <v>2</v>
      </c>
      <c r="Y67">
        <f>SUM($U$19:U67)</f>
        <v>4192887.21</v>
      </c>
      <c r="Z67" t="str">
        <f>UPPER(TRIM(INDEX('Entity Map'!$E:$E,MATCH(A67,'Entity Map'!$A:$A,0))))</f>
        <v>BALANCED</v>
      </c>
      <c r="AA67">
        <f>SUMIFS(Positions!$F:$F,Positions!$E:$E,Z67)</f>
        <v>2420753390.7000003</v>
      </c>
      <c r="AB67">
        <f>IFERROR(F67/AA67,0)</f>
        <v>0.025693590862642345</v>
      </c>
      <c r="AC67">
        <f>SUMPRODUCT(Positions!$F$18:$F$185,--(Positions!$A$18:$A$185=A67))</f>
        <v>124395694.4</v>
      </c>
      <c r="AD67" t="str">
        <f>IF(U67&gt;40000,"A",IF(U67&gt;8000,"B","C"))</f>
        <v>A</v>
      </c>
      <c r="AE67">
        <f>COUNTIF('Entity Map'!$A:$A,A67)</f>
        <v>1</v>
      </c>
      <c r="AF67">
        <f>MAX(Positions!$C:$C)</f>
        <v>46354</v>
      </c>
      <c r="AG67">
        <f>YEAR(D67)</f>
        <v>2026</v>
      </c>
      <c r="AH67">
        <f>ROUND(F67*$B$14/10000,2)</f>
        <v>161714.4</v>
      </c>
      <c r="AI67">
        <f>AH67-T67</f>
        <v>49525.03</v>
      </c>
      <c r="AJ67">
        <f>AI67*$B$15</f>
        <v>48039.2791</v>
      </c>
      <c r="AK67" t="str">
        <f>CONCATENATE(A67," / ",TEXT(AJ67,"0.00"))</f>
        <v>00049 / 48039.28</v>
      </c>
    </row>
    <row r="68">
      <c r="A68" t="inlineStr">
        <is>
          <t>00050</t>
        </is>
      </c>
      <c r="B68" t="str">
        <f>INDEX('Entity Map'!$B:$B,MATCH(A68,'Entity Map'!$A:$A,0))</f>
        <v>Client 050 Holdings</v>
      </c>
      <c r="C68">
        <f>INDEX('Entity Map'!$F:$F,MATCH(A68,'Entity Map'!$A:$A,0))</f>
        <v>45374</v>
      </c>
      <c r="D68">
        <f>MAX(DATE(2026,11,1),C68)</f>
        <v>46327</v>
      </c>
      <c r="E68" t="str">
        <f>TEXT(D68,"yyyy-mm")</f>
        <v>2026-11</v>
      </c>
      <c r="F68">
        <f>AVERAGEIFS(Positions!$F:$F,Positions!$A:$A,A68)</f>
        <v>53601436.81</v>
      </c>
      <c r="G68">
        <f>F67</f>
        <v>62197847.2</v>
      </c>
      <c r="H68">
        <f>IF(A68=A67,G68,F68)</f>
        <v>53601436.81</v>
      </c>
      <c r="I68">
        <f>VLOOKUP(F68,'Fee Schedule'!$D$5:$F$8,3,TRUE)</f>
        <v>18.5</v>
      </c>
      <c r="J68">
        <f>IFERROR(VLOOKUP(A68,'Fee Schedule'!$A$5:$B$21,2,FALSE),I68)</f>
        <v>18.5</v>
      </c>
      <c r="K68" t="str">
        <f>INDEX('Entity Map'!$C:$C,MATCH(A68,'Entity Map'!$A:$A,0))</f>
        <v>UKCo</v>
      </c>
      <c r="L68" t="str">
        <f>INDEX('Entity Map'!$D:$D,MATCH(A68,'Entity Map'!$A:$A,0))</f>
        <v>CC-110</v>
      </c>
      <c r="M68">
        <f>ROUND(F68*J68/10000,2)</f>
        <v>99162.66</v>
      </c>
      <c r="N68">
        <f>DAY(EOMONTH(D68,0))</f>
        <v>30</v>
      </c>
      <c r="O68">
        <f>DATEDIF(D68,EOMONTH(D68,0),"d")+1</f>
        <v>30</v>
      </c>
      <c r="P68">
        <f>ROUND(M68*O68/N68,2)</f>
        <v>99162.66</v>
      </c>
      <c r="Q68">
        <f>MAX(P68,'Fee Schedule'!$I$3)</f>
        <v>99162.66</v>
      </c>
      <c r="R68">
        <f>MIN(Q68,'Fee Schedule'!$I$4)</f>
        <v>99162.66</v>
      </c>
      <c r="S68">
        <f>IFERROR(R68*'Fee Schedule'!$I$5,0)</f>
        <v>2479.0665000000004</v>
      </c>
      <c r="T68">
        <f>ROUND(R68-S68,2)</f>
        <v>96683.59</v>
      </c>
      <c r="U68">
        <f>IFERROR(VLOOKUP(A68,Overrides!$A:$C,3,FALSE),T68)</f>
        <v>96683.59</v>
      </c>
      <c r="V68" t="str">
        <f>IF(U68=T68,"","OVERRIDE")</f>
        <v/>
      </c>
      <c r="W68" t="str">
        <f>LEFT(A68,3)&amp;"-"&amp;E68</f>
        <v>000-2026-11</v>
      </c>
      <c r="X68">
        <f>COUNTIFS(Positions!$A:$A,A68)</f>
        <v>2</v>
      </c>
      <c r="Y68">
        <f>SUM($U$19:U68)</f>
        <v>4289570.8</v>
      </c>
      <c r="Z68" t="str">
        <f>UPPER(TRIM(INDEX('Entity Map'!$E:$E,MATCH(A68,'Entity Map'!$A:$A,0))))</f>
        <v>EQUITY</v>
      </c>
      <c r="AA68">
        <f>SUMIFS(Positions!$F:$F,Positions!$E:$E,Z68)</f>
        <v>2806311623.609999</v>
      </c>
      <c r="AB68">
        <f>IFERROR(F68/AA68,0)</f>
        <v>0.019100315288951366</v>
      </c>
      <c r="AC68">
        <f>SUMPRODUCT(Positions!$F$18:$F$185,--(Positions!$A$18:$A$185=A68))</f>
        <v>107202873.62</v>
      </c>
      <c r="AD68" t="str">
        <f>IF(U68&gt;40000,"A",IF(U68&gt;8000,"B","C"))</f>
        <v>A</v>
      </c>
      <c r="AE68">
        <f>COUNTIF('Entity Map'!$A:$A,A68)</f>
        <v>1</v>
      </c>
      <c r="AF68">
        <f>MAX(Positions!$C:$C)</f>
        <v>46354</v>
      </c>
      <c r="AG68">
        <f>YEAR(D68)</f>
        <v>2026</v>
      </c>
      <c r="AH68">
        <f>ROUND(F68*$B$14/10000,2)</f>
        <v>139363.74</v>
      </c>
      <c r="AI68">
        <f>AH68-T68</f>
        <v>42680.149999999994</v>
      </c>
      <c r="AJ68">
        <f>AI68*$B$15</f>
        <v>41399.74549999999</v>
      </c>
      <c r="AK68" t="str">
        <f>CONCATENATE(A68," / ",TEXT(AJ68,"0.00"))</f>
        <v>00050 / 41399.75</v>
      </c>
    </row>
    <row r="69">
      <c r="A69" t="inlineStr">
        <is>
          <t>00051</t>
        </is>
      </c>
      <c r="B69" t="str">
        <f>INDEX('Entity Map'!$B:$B,MATCH(A69,'Entity Map'!$A:$A,0))</f>
        <v>Client 051 Holdings</v>
      </c>
      <c r="C69">
        <f>INDEX('Entity Map'!$F:$F,MATCH(A69,'Entity Map'!$A:$A,0))</f>
        <v>45375</v>
      </c>
      <c r="D69">
        <f>MAX(DATE(2026,11,1),C69)</f>
        <v>46327</v>
      </c>
      <c r="E69" t="str">
        <f>TEXT(D69,"yyyy-mm")</f>
        <v>2026-11</v>
      </c>
      <c r="F69">
        <f>AVERAGEIFS(Positions!$F:$F,Positions!$A:$A,A69)</f>
        <v>44848048.145</v>
      </c>
      <c r="G69">
        <f>F68</f>
        <v>53601436.81</v>
      </c>
      <c r="H69">
        <f>IF(A69=A68,G69,F69)</f>
        <v>44848048.145</v>
      </c>
      <c r="I69">
        <f>VLOOKUP(F69,'Fee Schedule'!$D$5:$F$8,3,TRUE)</f>
        <v>22</v>
      </c>
      <c r="J69">
        <f>IFERROR(VLOOKUP(A69,'Fee Schedule'!$A$5:$B$21,2,FALSE),I69)</f>
        <v>27.5</v>
      </c>
      <c r="K69" t="str">
        <f>INDEX('Entity Map'!$C:$C,MATCH(A69,'Entity Map'!$A:$A,0))</f>
        <v>DubCo</v>
      </c>
      <c r="L69" t="str">
        <f>INDEX('Entity Map'!$D:$D,MATCH(A69,'Entity Map'!$A:$A,0))</f>
        <v>CC-120</v>
      </c>
      <c r="M69">
        <f>ROUND(F69*J69/10000,2)</f>
        <v>123332.13</v>
      </c>
      <c r="N69">
        <f>DAY(EOMONTH(D69,0))</f>
        <v>30</v>
      </c>
      <c r="O69">
        <f>DATEDIF(D69,EOMONTH(D69,0),"d")+1</f>
        <v>30</v>
      </c>
      <c r="P69">
        <f>ROUND(M69*O69/N69,2)</f>
        <v>123332.13</v>
      </c>
      <c r="Q69">
        <f>MAX(P69,'Fee Schedule'!$I$3)</f>
        <v>123332.13</v>
      </c>
      <c r="R69">
        <f>MIN(Q69,'Fee Schedule'!$I$4)</f>
        <v>123332.13</v>
      </c>
      <c r="S69">
        <f>IFERROR(R69*'Fee Schedule'!$I$5,0)</f>
        <v>3083.3032500000004</v>
      </c>
      <c r="T69">
        <f>ROUND(R69-S69,2)</f>
        <v>120248.83</v>
      </c>
      <c r="U69">
        <f>IFERROR(VLOOKUP(A69,Overrides!$A:$C,3,FALSE),T69)</f>
        <v>120248.83</v>
      </c>
      <c r="V69" t="str">
        <f>IF(U69=T69,"","OVERRIDE")</f>
        <v/>
      </c>
      <c r="W69" t="str">
        <f>LEFT(A69,3)&amp;"-"&amp;E69</f>
        <v>000-2026-11</v>
      </c>
      <c r="X69">
        <f>COUNTIFS(Positions!$A:$A,A69)</f>
        <v>2</v>
      </c>
      <c r="Y69">
        <f>SUM($U$19:U69)</f>
        <v>4409819.63</v>
      </c>
      <c r="Z69" t="str">
        <f>UPPER(TRIM(INDEX('Entity Map'!$E:$E,MATCH(A69,'Entity Map'!$A:$A,0))))</f>
        <v>FIXED INCOME</v>
      </c>
      <c r="AA69">
        <f>SUMIFS(Positions!$F:$F,Positions!$E:$E,Z69)</f>
        <v>2496645976.4</v>
      </c>
      <c r="AB69">
        <f>IFERROR(F69/AA69,0)</f>
        <v>0.017963319016366087</v>
      </c>
      <c r="AC69">
        <f>SUMPRODUCT(Positions!$F$18:$F$185,--(Positions!$A$18:$A$185=A69))</f>
        <v>89696096.29</v>
      </c>
      <c r="AD69" t="str">
        <f>IF(U69&gt;40000,"A",IF(U69&gt;8000,"B","C"))</f>
        <v>A</v>
      </c>
      <c r="AE69">
        <f>COUNTIF('Entity Map'!$A:$A,A69)</f>
        <v>1</v>
      </c>
      <c r="AF69">
        <f>MAX(Positions!$C:$C)</f>
        <v>46354</v>
      </c>
      <c r="AG69">
        <f>YEAR(D69)</f>
        <v>2026</v>
      </c>
      <c r="AH69">
        <f>ROUND(F69*$B$14/10000,2)</f>
        <v>116604.93</v>
      </c>
      <c r="AI69">
        <f>AH69-T69</f>
        <v>-3643.9000000000087</v>
      </c>
      <c r="AJ69">
        <f>AI69*$B$15</f>
        <v>-3534.5830000000083</v>
      </c>
      <c r="AK69" t="str">
        <f>CONCATENATE(A69," / ",TEXT(AJ69,"0.00"))</f>
        <v>00051 / -3534.58</v>
      </c>
    </row>
    <row r="70">
      <c r="A70" t="inlineStr">
        <is>
          <t>00052</t>
        </is>
      </c>
      <c r="B70" t="str">
        <f>INDEX('Entity Map'!$B:$B,MATCH(A70,'Entity Map'!$A:$A,0))</f>
        <v>Client 052 Holdings</v>
      </c>
      <c r="C70">
        <f>INDEX('Entity Map'!$F:$F,MATCH(A70,'Entity Map'!$A:$A,0))</f>
        <v>45376</v>
      </c>
      <c r="D70">
        <f>MAX(DATE(2026,11,1),C70)</f>
        <v>46327</v>
      </c>
      <c r="E70" t="str">
        <f>TEXT(D70,"yyyy-mm")</f>
        <v>2026-11</v>
      </c>
      <c r="F70">
        <f>AVERAGEIFS(Positions!$F:$F,Positions!$A:$A,A70)</f>
        <v>58386593.24</v>
      </c>
      <c r="G70">
        <f>F69</f>
        <v>44848048.145</v>
      </c>
      <c r="H70">
        <f>IF(A70=A69,G70,F70)</f>
        <v>58386593.24</v>
      </c>
      <c r="I70">
        <f>VLOOKUP(F70,'Fee Schedule'!$D$5:$F$8,3,TRUE)</f>
        <v>18.5</v>
      </c>
      <c r="J70">
        <f>IFERROR(VLOOKUP(A70,'Fee Schedule'!$A$5:$B$21,2,FALSE),I70)</f>
        <v>18.5</v>
      </c>
      <c r="K70" t="str">
        <f>INDEX('Entity Map'!$C:$C,MATCH(A70,'Entity Map'!$A:$A,0))</f>
        <v>LuxCo</v>
      </c>
      <c r="L70" t="str">
        <f>INDEX('Entity Map'!$D:$D,MATCH(A70,'Entity Map'!$A:$A,0))</f>
        <v>CC-130</v>
      </c>
      <c r="M70">
        <f>ROUND(F70*J70/10000,2)</f>
        <v>108015.2</v>
      </c>
      <c r="N70">
        <f>DAY(EOMONTH(D70,0))</f>
        <v>30</v>
      </c>
      <c r="O70">
        <f>DATEDIF(D70,EOMONTH(D70,0),"d")+1</f>
        <v>30</v>
      </c>
      <c r="P70">
        <f>ROUND(M70*O70/N70,2)</f>
        <v>108015.2</v>
      </c>
      <c r="Q70">
        <f>MAX(P70,'Fee Schedule'!$I$3)</f>
        <v>108015.2</v>
      </c>
      <c r="R70">
        <f>MIN(Q70,'Fee Schedule'!$I$4)</f>
        <v>108015.2</v>
      </c>
      <c r="S70">
        <f>IFERROR(R70*'Fee Schedule'!$I$5,0)</f>
        <v>2700.38</v>
      </c>
      <c r="T70">
        <f>ROUND(R70-S70,2)</f>
        <v>105314.82</v>
      </c>
      <c r="U70">
        <f>IFERROR(VLOOKUP(A70,Overrides!$A:$C,3,FALSE),T70)</f>
        <v>105314.82</v>
      </c>
      <c r="V70" t="str">
        <f>IF(U70=T70,"","OVERRIDE")</f>
        <v/>
      </c>
      <c r="W70" t="str">
        <f>LEFT(A70,3)&amp;"-"&amp;E70</f>
        <v>000-2026-11</v>
      </c>
      <c r="X70">
        <f>COUNTIFS(Positions!$A:$A,A70)</f>
        <v>2</v>
      </c>
      <c r="Y70">
        <f>SUM($U$19:U70)</f>
        <v>4515134.45</v>
      </c>
      <c r="Z70" t="str">
        <f>UPPER(TRIM(INDEX('Entity Map'!$E:$E,MATCH(A70,'Entity Map'!$A:$A,0))))</f>
        <v>BALANCED</v>
      </c>
      <c r="AA70">
        <f>SUMIFS(Positions!$F:$F,Positions!$E:$E,Z70)</f>
        <v>2420753390.7000003</v>
      </c>
      <c r="AB70">
        <f>IFERROR(F70/AA70,0)</f>
        <v>0.02411918267441384</v>
      </c>
      <c r="AC70">
        <f>SUMPRODUCT(Positions!$F$18:$F$185,--(Positions!$A$18:$A$185=A70))</f>
        <v>116773186.48</v>
      </c>
      <c r="AD70" t="str">
        <f>IF(U70&gt;40000,"A",IF(U70&gt;8000,"B","C"))</f>
        <v>A</v>
      </c>
      <c r="AE70">
        <f>COUNTIF('Entity Map'!$A:$A,A70)</f>
        <v>1</v>
      </c>
      <c r="AF70">
        <f>MAX(Positions!$C:$C)</f>
        <v>46354</v>
      </c>
      <c r="AG70">
        <f>YEAR(D70)</f>
        <v>2026</v>
      </c>
      <c r="AH70">
        <f>ROUND(F70*$B$14/10000,2)</f>
        <v>151805.14</v>
      </c>
      <c r="AI70">
        <f>AH70-T70</f>
        <v>46490.32000000001</v>
      </c>
      <c r="AJ70">
        <f>AI70*$B$15</f>
        <v>45095.610400000005</v>
      </c>
      <c r="AK70" t="str">
        <f>CONCATENATE(A70," / ",TEXT(AJ70,"0.00"))</f>
        <v>00052 / 45095.61</v>
      </c>
    </row>
    <row r="71">
      <c r="A71" t="inlineStr">
        <is>
          <t>00053</t>
        </is>
      </c>
      <c r="B71" t="str">
        <f>INDEX('Entity Map'!$B:$B,MATCH(A71,'Entity Map'!$A:$A,0))</f>
        <v>Client 053 Holdings</v>
      </c>
      <c r="C71">
        <f>INDEX('Entity Map'!$F:$F,MATCH(A71,'Entity Map'!$A:$A,0))</f>
        <v>45377</v>
      </c>
      <c r="D71">
        <f>MAX(DATE(2026,11,1),C71)</f>
        <v>46327</v>
      </c>
      <c r="E71" t="str">
        <f>TEXT(D71,"yyyy-mm")</f>
        <v>2026-11</v>
      </c>
      <c r="F71">
        <f>AVERAGEIFS(Positions!$F:$F,Positions!$A:$A,A71)</f>
        <v>30853658.735000003</v>
      </c>
      <c r="G71">
        <f>F70</f>
        <v>58386593.24</v>
      </c>
      <c r="H71">
        <f>IF(A71=A70,G71,F71)</f>
        <v>30853658.735000003</v>
      </c>
      <c r="I71">
        <f>VLOOKUP(F71,'Fee Schedule'!$D$5:$F$8,3,TRUE)</f>
        <v>22</v>
      </c>
      <c r="J71">
        <f>IFERROR(VLOOKUP(A71,'Fee Schedule'!$A$5:$B$21,2,FALSE),I71)</f>
        <v>22</v>
      </c>
      <c r="K71" t="str">
        <f>INDEX('Entity Map'!$C:$C,MATCH(A71,'Entity Map'!$A:$A,0))</f>
        <v>UKCo</v>
      </c>
      <c r="L71" t="str">
        <f>INDEX('Entity Map'!$D:$D,MATCH(A71,'Entity Map'!$A:$A,0))</f>
        <v>CC-140</v>
      </c>
      <c r="M71">
        <f>ROUND(F71*J71/10000,2)</f>
        <v>67878.05</v>
      </c>
      <c r="N71">
        <f>DAY(EOMONTH(D71,0))</f>
        <v>30</v>
      </c>
      <c r="O71">
        <f>DATEDIF(D71,EOMONTH(D71,0),"d")+1</f>
        <v>30</v>
      </c>
      <c r="P71">
        <f>ROUND(M71*O71/N71,2)</f>
        <v>67878.05</v>
      </c>
      <c r="Q71">
        <f>MAX(P71,'Fee Schedule'!$I$3)</f>
        <v>67878.05</v>
      </c>
      <c r="R71">
        <f>MIN(Q71,'Fee Schedule'!$I$4)</f>
        <v>67878.05</v>
      </c>
      <c r="S71">
        <f>IFERROR(R71*'Fee Schedule'!$I$5,0)</f>
        <v>1696.95125</v>
      </c>
      <c r="T71">
        <f>ROUND(R71-S71,2)</f>
        <v>66181.1</v>
      </c>
      <c r="U71">
        <f>IFERROR(VLOOKUP(A71,Overrides!$A:$C,3,FALSE),T71)</f>
        <v>66181.1</v>
      </c>
      <c r="V71" t="str">
        <f>IF(U71=T71,"","OVERRIDE")</f>
        <v/>
      </c>
      <c r="W71" t="str">
        <f>LEFT(A71,3)&amp;"-"&amp;E71</f>
        <v>000-2026-11</v>
      </c>
      <c r="X71">
        <f>COUNTIFS(Positions!$A:$A,A71)</f>
        <v>2</v>
      </c>
      <c r="Y71">
        <f>SUM($U$19:U71)</f>
        <v>4581315.55</v>
      </c>
      <c r="Z71" t="str">
        <f>UPPER(TRIM(INDEX('Entity Map'!$E:$E,MATCH(A71,'Entity Map'!$A:$A,0))))</f>
        <v>EQUITY</v>
      </c>
      <c r="AA71">
        <f>SUMIFS(Positions!$F:$F,Positions!$E:$E,Z71)</f>
        <v>2806311623.609999</v>
      </c>
      <c r="AB71">
        <f>IFERROR(F71/AA71,0)</f>
        <v>0.010994380836191775</v>
      </c>
      <c r="AC71">
        <f>SUMPRODUCT(Positions!$F$18:$F$185,--(Positions!$A$18:$A$185=A71))</f>
        <v>61707317.470000006</v>
      </c>
      <c r="AD71" t="str">
        <f>IF(U71&gt;40000,"A",IF(U71&gt;8000,"B","C"))</f>
        <v>A</v>
      </c>
      <c r="AE71">
        <f>COUNTIF('Entity Map'!$A:$A,A71)</f>
        <v>1</v>
      </c>
      <c r="AF71">
        <f>MAX(Positions!$C:$C)</f>
        <v>46354</v>
      </c>
      <c r="AG71">
        <f>YEAR(D71)</f>
        <v>2026</v>
      </c>
      <c r="AH71">
        <f>ROUND(F71*$B$14/10000,2)</f>
        <v>80219.51</v>
      </c>
      <c r="AI71">
        <f>AH71-T71</f>
        <v>14038.409999999989</v>
      </c>
      <c r="AJ71">
        <f>AI71*$B$15</f>
        <v>13617.25769999999</v>
      </c>
      <c r="AK71" t="str">
        <f>CONCATENATE(A71," / ",TEXT(AJ71,"0.00"))</f>
        <v>00053 / 13617.26</v>
      </c>
    </row>
    <row r="72">
      <c r="A72" t="inlineStr">
        <is>
          <t>00054</t>
        </is>
      </c>
      <c r="B72" t="str">
        <f>INDEX('Entity Map'!$B:$B,MATCH(A72,'Entity Map'!$A:$A,0))</f>
        <v>Client 054 Holdings</v>
      </c>
      <c r="C72">
        <f>INDEX('Entity Map'!$F:$F,MATCH(A72,'Entity Map'!$A:$A,0))</f>
        <v>45378</v>
      </c>
      <c r="D72">
        <f>MAX(DATE(2026,11,1),C72)</f>
        <v>46327</v>
      </c>
      <c r="E72" t="str">
        <f>TEXT(D72,"yyyy-mm")</f>
        <v>2026-11</v>
      </c>
      <c r="F72">
        <f>AVERAGEIFS(Positions!$F:$F,Positions!$A:$A,A72)</f>
        <v>52237255.215</v>
      </c>
      <c r="G72">
        <f>F71</f>
        <v>30853658.735000003</v>
      </c>
      <c r="H72">
        <f>IF(A72=A71,G72,F72)</f>
        <v>52237255.215</v>
      </c>
      <c r="I72">
        <f>VLOOKUP(F72,'Fee Schedule'!$D$5:$F$8,3,TRUE)</f>
        <v>18.5</v>
      </c>
      <c r="J72">
        <f>IFERROR(VLOOKUP(A72,'Fee Schedule'!$A$5:$B$21,2,FALSE),I72)</f>
        <v>18.5</v>
      </c>
      <c r="K72" t="str">
        <f>INDEX('Entity Map'!$C:$C,MATCH(A72,'Entity Map'!$A:$A,0))</f>
        <v>DubCo</v>
      </c>
      <c r="L72" t="str">
        <f>INDEX('Entity Map'!$D:$D,MATCH(A72,'Entity Map'!$A:$A,0))</f>
        <v>CC-150</v>
      </c>
      <c r="M72">
        <f>ROUND(F72*J72/10000,2)</f>
        <v>96638.92</v>
      </c>
      <c r="N72">
        <f>DAY(EOMONTH(D72,0))</f>
        <v>30</v>
      </c>
      <c r="O72">
        <f>DATEDIF(D72,EOMONTH(D72,0),"d")+1</f>
        <v>30</v>
      </c>
      <c r="P72">
        <f>ROUND(M72*O72/N72,2)</f>
        <v>96638.92</v>
      </c>
      <c r="Q72">
        <f>MAX(P72,'Fee Schedule'!$I$3)</f>
        <v>96638.92</v>
      </c>
      <c r="R72">
        <f>MIN(Q72,'Fee Schedule'!$I$4)</f>
        <v>96638.92</v>
      </c>
      <c r="S72">
        <f>IFERROR(R72*'Fee Schedule'!$I$5,0)</f>
        <v>2415.973</v>
      </c>
      <c r="T72">
        <f>ROUND(R72-S72,2)</f>
        <v>94222.95</v>
      </c>
      <c r="U72">
        <f>IFERROR(VLOOKUP(A72,Overrides!$A:$C,3,FALSE),T72)</f>
        <v>94222.95</v>
      </c>
      <c r="V72" t="str">
        <f>IF(U72=T72,"","OVERRIDE")</f>
        <v/>
      </c>
      <c r="W72" t="str">
        <f>LEFT(A72,3)&amp;"-"&amp;E72</f>
        <v>000-2026-11</v>
      </c>
      <c r="X72">
        <f>COUNTIFS(Positions!$A:$A,A72)</f>
        <v>2</v>
      </c>
      <c r="Y72">
        <f>SUM($U$19:U72)</f>
        <v>4675538.5</v>
      </c>
      <c r="Z72" t="str">
        <f>UPPER(TRIM(INDEX('Entity Map'!$E:$E,MATCH(A72,'Entity Map'!$A:$A,0))))</f>
        <v>FIXED INCOME</v>
      </c>
      <c r="AA72">
        <f>SUMIFS(Positions!$F:$F,Positions!$E:$E,Z72)</f>
        <v>2496645976.4</v>
      </c>
      <c r="AB72">
        <f>IFERROR(F72/AA72,0)</f>
        <v>0.020922972543477192</v>
      </c>
      <c r="AC72">
        <f>SUMPRODUCT(Positions!$F$18:$F$185,--(Positions!$A$18:$A$185=A72))</f>
        <v>104474510.43</v>
      </c>
      <c r="AD72" t="str">
        <f>IF(U72&gt;40000,"A",IF(U72&gt;8000,"B","C"))</f>
        <v>A</v>
      </c>
      <c r="AE72">
        <f>COUNTIF('Entity Map'!$A:$A,A72)</f>
        <v>1</v>
      </c>
      <c r="AF72">
        <f>MAX(Positions!$C:$C)</f>
        <v>46354</v>
      </c>
      <c r="AG72">
        <f>YEAR(D72)</f>
        <v>2026</v>
      </c>
      <c r="AH72">
        <f>ROUND(F72*$B$14/10000,2)</f>
        <v>135816.86</v>
      </c>
      <c r="AI72">
        <f>AH72-T72</f>
        <v>41593.90999999999</v>
      </c>
      <c r="AJ72">
        <f>AI72*$B$15</f>
        <v>40346.09269999999</v>
      </c>
      <c r="AK72" t="str">
        <f>CONCATENATE(A72," / ",TEXT(AJ72,"0.00"))</f>
        <v>00054 / 40346.09</v>
      </c>
    </row>
    <row r="73">
      <c r="A73" t="inlineStr">
        <is>
          <t>00055</t>
        </is>
      </c>
      <c r="B73" t="str">
        <f>INDEX('Entity Map'!$B:$B,MATCH(A73,'Entity Map'!$A:$A,0))</f>
        <v>Client 055 Holdings</v>
      </c>
      <c r="C73">
        <f>INDEX('Entity Map'!$F:$F,MATCH(A73,'Entity Map'!$A:$A,0))</f>
        <v>45352</v>
      </c>
      <c r="D73">
        <f>MAX(DATE(2026,11,1),C73)</f>
        <v>46327</v>
      </c>
      <c r="E73" t="str">
        <f>TEXT(D73,"yyyy-mm")</f>
        <v>2026-11</v>
      </c>
      <c r="F73">
        <f>AVERAGEIFS(Positions!$F:$F,Positions!$A:$A,A73)</f>
        <v>76422190.475</v>
      </c>
      <c r="G73">
        <f>F72</f>
        <v>52237255.215</v>
      </c>
      <c r="H73">
        <f>IF(A73=A72,G73,F73)</f>
        <v>76422190.475</v>
      </c>
      <c r="I73">
        <f>VLOOKUP(F73,'Fee Schedule'!$D$5:$F$8,3,TRUE)</f>
        <v>18.5</v>
      </c>
      <c r="J73">
        <f>IFERROR(VLOOKUP(A73,'Fee Schedule'!$A$5:$B$21,2,FALSE),I73)</f>
        <v>18.5</v>
      </c>
      <c r="K73" t="str">
        <f>INDEX('Entity Map'!$C:$C,MATCH(A73,'Entity Map'!$A:$A,0))</f>
        <v>LuxCo</v>
      </c>
      <c r="L73" t="str">
        <f>INDEX('Entity Map'!$D:$D,MATCH(A73,'Entity Map'!$A:$A,0))</f>
        <v>CC-100</v>
      </c>
      <c r="M73">
        <f>ROUND(F73*J73/10000,2)</f>
        <v>141381.05</v>
      </c>
      <c r="N73">
        <f>DAY(EOMONTH(D73,0))</f>
        <v>30</v>
      </c>
      <c r="O73">
        <f>DATEDIF(D73,EOMONTH(D73,0),"d")+1</f>
        <v>30</v>
      </c>
      <c r="P73">
        <f>ROUND(M73*O73/N73,2)</f>
        <v>141381.05</v>
      </c>
      <c r="Q73">
        <f>MAX(P73,'Fee Schedule'!$I$3)</f>
        <v>141381.05</v>
      </c>
      <c r="R73">
        <f>MIN(Q73,'Fee Schedule'!$I$4)</f>
        <v>141381.05</v>
      </c>
      <c r="S73">
        <f>IFERROR(R73*'Fee Schedule'!$I$5,0)</f>
        <v>3534.52625</v>
      </c>
      <c r="T73">
        <f>ROUND(R73-S73,2)</f>
        <v>137846.52</v>
      </c>
      <c r="U73">
        <f>IFERROR(VLOOKUP(A73,Overrides!$A:$C,3,FALSE),T73)</f>
        <v>137846.52</v>
      </c>
      <c r="V73" t="str">
        <f>IF(U73=T73,"","OVERRIDE")</f>
        <v/>
      </c>
      <c r="W73" t="str">
        <f>LEFT(A73,3)&amp;"-"&amp;E73</f>
        <v>000-2026-11</v>
      </c>
      <c r="X73">
        <f>COUNTIFS(Positions!$A:$A,A73)</f>
        <v>2</v>
      </c>
      <c r="Y73">
        <f>SUM($U$19:U73)</f>
        <v>4813385.02</v>
      </c>
      <c r="Z73" t="str">
        <f>UPPER(TRIM(INDEX('Entity Map'!$E:$E,MATCH(A73,'Entity Map'!$A:$A,0))))</f>
        <v>BALANCED</v>
      </c>
      <c r="AA73">
        <f>SUMIFS(Positions!$F:$F,Positions!$E:$E,Z73)</f>
        <v>2420753390.7000003</v>
      </c>
      <c r="AB73">
        <f>IFERROR(F73/AA73,0)</f>
        <v>0.03156958935536233</v>
      </c>
      <c r="AC73">
        <f>SUMPRODUCT(Positions!$F$18:$F$185,--(Positions!$A$18:$A$185=A73))</f>
        <v>152844380.95</v>
      </c>
      <c r="AD73" t="str">
        <f>IF(U73&gt;40000,"A",IF(U73&gt;8000,"B","C"))</f>
        <v>A</v>
      </c>
      <c r="AE73">
        <f>COUNTIF('Entity Map'!$A:$A,A73)</f>
        <v>1</v>
      </c>
      <c r="AF73">
        <f>MAX(Positions!$C:$C)</f>
        <v>46354</v>
      </c>
      <c r="AG73">
        <f>YEAR(D73)</f>
        <v>2026</v>
      </c>
      <c r="AH73">
        <f>ROUND(F73*$B$14/10000,2)</f>
        <v>198697.7</v>
      </c>
      <c r="AI73">
        <f>AH73-T73</f>
        <v>60851.18000000002</v>
      </c>
      <c r="AJ73">
        <f>AI73*$B$15</f>
        <v>59025.64460000002</v>
      </c>
      <c r="AK73" t="str">
        <f>CONCATENATE(A73," / ",TEXT(AJ73,"0.00"))</f>
        <v>00055 / 59025.64</v>
      </c>
    </row>
    <row r="74">
      <c r="A74" t="inlineStr">
        <is>
          <t>00056</t>
        </is>
      </c>
      <c r="B74" t="str">
        <f>INDEX('Entity Map'!$B:$B,MATCH(A74,'Entity Map'!$A:$A,0))</f>
        <v>Client 056 Holdings</v>
      </c>
      <c r="C74">
        <f>INDEX('Entity Map'!$F:$F,MATCH(A74,'Entity Map'!$A:$A,0))</f>
        <v>45353</v>
      </c>
      <c r="D74">
        <f>MAX(DATE(2026,11,1),C74)</f>
        <v>46327</v>
      </c>
      <c r="E74" t="str">
        <f>TEXT(D74,"yyyy-mm")</f>
        <v>2026-11</v>
      </c>
      <c r="F74">
        <f>AVERAGEIFS(Positions!$F:$F,Positions!$A:$A,A74)</f>
        <v>63333334.3</v>
      </c>
      <c r="G74">
        <f>F73</f>
        <v>76422190.475</v>
      </c>
      <c r="H74">
        <f>IF(A74=A73,G74,F74)</f>
        <v>63333334.3</v>
      </c>
      <c r="I74">
        <f>VLOOKUP(F74,'Fee Schedule'!$D$5:$F$8,3,TRUE)</f>
        <v>18.5</v>
      </c>
      <c r="J74">
        <f>IFERROR(VLOOKUP(A74,'Fee Schedule'!$A$5:$B$21,2,FALSE),I74)</f>
        <v>21.5</v>
      </c>
      <c r="K74" t="str">
        <f>INDEX('Entity Map'!$C:$C,MATCH(A74,'Entity Map'!$A:$A,0))</f>
        <v>UKCo</v>
      </c>
      <c r="L74" t="str">
        <f>INDEX('Entity Map'!$D:$D,MATCH(A74,'Entity Map'!$A:$A,0))</f>
        <v>CC-110</v>
      </c>
      <c r="M74">
        <f>ROUND(F74*J74/10000,2)</f>
        <v>136166.67</v>
      </c>
      <c r="N74">
        <f>DAY(EOMONTH(D74,0))</f>
        <v>30</v>
      </c>
      <c r="O74">
        <f>DATEDIF(D74,EOMONTH(D74,0),"d")+1</f>
        <v>30</v>
      </c>
      <c r="P74">
        <f>ROUND(M74*O74/N74,2)</f>
        <v>136166.67</v>
      </c>
      <c r="Q74">
        <f>MAX(P74,'Fee Schedule'!$I$3)</f>
        <v>136166.67</v>
      </c>
      <c r="R74">
        <f>MIN(Q74,'Fee Schedule'!$I$4)</f>
        <v>136166.67</v>
      </c>
      <c r="S74">
        <f>IFERROR(R74*'Fee Schedule'!$I$5,0)</f>
        <v>3404.1667500000003</v>
      </c>
      <c r="T74">
        <f>ROUND(R74-S74,2)</f>
        <v>132762.5</v>
      </c>
      <c r="U74">
        <f>IFERROR(VLOOKUP(A74,Overrides!$A:$C,3,FALSE),T74)</f>
        <v>132762.5</v>
      </c>
      <c r="V74" t="str">
        <f>IF(U74=T74,"","OVERRIDE")</f>
        <v/>
      </c>
      <c r="W74" t="str">
        <f>LEFT(A74,3)&amp;"-"&amp;E74</f>
        <v>000-2026-11</v>
      </c>
      <c r="X74">
        <f>COUNTIFS(Positions!$A:$A,A74)</f>
        <v>2</v>
      </c>
      <c r="Y74">
        <f>SUM($U$19:U74)</f>
        <v>4946147.52</v>
      </c>
      <c r="Z74" t="str">
        <f>UPPER(TRIM(INDEX('Entity Map'!$E:$E,MATCH(A74,'Entity Map'!$A:$A,0))))</f>
        <v>EQUITY</v>
      </c>
      <c r="AA74">
        <f>SUMIFS(Positions!$F:$F,Positions!$E:$E,Z74)</f>
        <v>2806311623.609999</v>
      </c>
      <c r="AB74">
        <f>IFERROR(F74/AA74,0)</f>
        <v>0.022568175881525553</v>
      </c>
      <c r="AC74">
        <f>SUMPRODUCT(Positions!$F$18:$F$185,--(Positions!$A$18:$A$185=A74))</f>
        <v>126666668.6</v>
      </c>
      <c r="AD74" t="str">
        <f>IF(U74&gt;40000,"A",IF(U74&gt;8000,"B","C"))</f>
        <v>A</v>
      </c>
      <c r="AE74">
        <f>COUNTIF('Entity Map'!$A:$A,A74)</f>
        <v>1</v>
      </c>
      <c r="AF74">
        <f>MAX(Positions!$C:$C)</f>
        <v>46354</v>
      </c>
      <c r="AG74">
        <f>YEAR(D74)</f>
        <v>2026</v>
      </c>
      <c r="AH74">
        <f>ROUND(F74*$B$14/10000,2)</f>
        <v>164666.67</v>
      </c>
      <c r="AI74">
        <f>AH74-T74</f>
        <v>31904.170000000013</v>
      </c>
      <c r="AJ74">
        <f>AI74*$B$15</f>
        <v>30947.04490000001</v>
      </c>
      <c r="AK74" t="str">
        <f>CONCATENATE(A74," / ",TEXT(AJ74,"0.00"))</f>
        <v>00056 / 30947.04</v>
      </c>
    </row>
    <row r="75">
      <c r="A75" t="inlineStr">
        <is>
          <t>00057</t>
        </is>
      </c>
      <c r="B75" t="str">
        <f>INDEX('Entity Map'!$B:$B,MATCH(A75,'Entity Map'!$A:$A,0))</f>
        <v>Client 057 Holdings</v>
      </c>
      <c r="C75">
        <f>INDEX('Entity Map'!$F:$F,MATCH(A75,'Entity Map'!$A:$A,0))</f>
        <v>45354</v>
      </c>
      <c r="D75">
        <f>MAX(DATE(2026,11,1),C75)</f>
        <v>46327</v>
      </c>
      <c r="E75" t="str">
        <f>TEXT(D75,"yyyy-mm")</f>
        <v>2026-11</v>
      </c>
      <c r="F75">
        <f>AVERAGEIFS(Positions!$F:$F,Positions!$A:$A,A75)</f>
        <v>55125211.805</v>
      </c>
      <c r="G75">
        <f>F74</f>
        <v>63333334.3</v>
      </c>
      <c r="H75">
        <f>IF(A75=A74,G75,F75)</f>
        <v>55125211.805</v>
      </c>
      <c r="I75">
        <f>VLOOKUP(F75,'Fee Schedule'!$D$5:$F$8,3,TRUE)</f>
        <v>18.5</v>
      </c>
      <c r="J75">
        <f>IFERROR(VLOOKUP(A75,'Fee Schedule'!$A$5:$B$21,2,FALSE),I75)</f>
        <v>18.5</v>
      </c>
      <c r="K75" t="str">
        <f>INDEX('Entity Map'!$C:$C,MATCH(A75,'Entity Map'!$A:$A,0))</f>
        <v>DubCo</v>
      </c>
      <c r="L75" t="str">
        <f>INDEX('Entity Map'!$D:$D,MATCH(A75,'Entity Map'!$A:$A,0))</f>
        <v>CC-120</v>
      </c>
      <c r="M75">
        <f>ROUND(F75*J75/10000,2)</f>
        <v>101981.64</v>
      </c>
      <c r="N75">
        <f>DAY(EOMONTH(D75,0))</f>
        <v>30</v>
      </c>
      <c r="O75">
        <f>DATEDIF(D75,EOMONTH(D75,0),"d")+1</f>
        <v>30</v>
      </c>
      <c r="P75">
        <f>ROUND(M75*O75/N75,2)</f>
        <v>101981.64</v>
      </c>
      <c r="Q75">
        <f>MAX(P75,'Fee Schedule'!$I$3)</f>
        <v>101981.64</v>
      </c>
      <c r="R75">
        <f>MIN(Q75,'Fee Schedule'!$I$4)</f>
        <v>101981.64</v>
      </c>
      <c r="S75">
        <f>IFERROR(R75*'Fee Schedule'!$I$5,0)</f>
        <v>2549.541</v>
      </c>
      <c r="T75">
        <f>ROUND(R75-S75,2)</f>
        <v>99432.1</v>
      </c>
      <c r="U75">
        <f>IFERROR(VLOOKUP(A75,Overrides!$A:$C,3,FALSE),T75)</f>
        <v>99432.1</v>
      </c>
      <c r="V75" t="str">
        <f>IF(U75=T75,"","OVERRIDE")</f>
        <v/>
      </c>
      <c r="W75" t="str">
        <f>LEFT(A75,3)&amp;"-"&amp;E75</f>
        <v>000-2026-11</v>
      </c>
      <c r="X75">
        <f>COUNTIFS(Positions!$A:$A,A75)</f>
        <v>2</v>
      </c>
      <c r="Y75">
        <f>SUM($U$19:U75)</f>
        <v>5045579.62</v>
      </c>
      <c r="Z75" t="str">
        <f>UPPER(TRIM(INDEX('Entity Map'!$E:$E,MATCH(A75,'Entity Map'!$A:$A,0))))</f>
        <v>FIXED INCOME</v>
      </c>
      <c r="AA75">
        <f>SUMIFS(Positions!$F:$F,Positions!$E:$E,Z75)</f>
        <v>2496645976.4</v>
      </c>
      <c r="AB75">
        <f>IFERROR(F75/AA75,0)</f>
        <v>0.022079707065431418</v>
      </c>
      <c r="AC75">
        <f>SUMPRODUCT(Positions!$F$18:$F$185,--(Positions!$A$18:$A$185=A75))</f>
        <v>110250423.61</v>
      </c>
      <c r="AD75" t="str">
        <f>IF(U75&gt;40000,"A",IF(U75&gt;8000,"B","C"))</f>
        <v>A</v>
      </c>
      <c r="AE75">
        <f>COUNTIF('Entity Map'!$A:$A,A75)</f>
        <v>1</v>
      </c>
      <c r="AF75">
        <f>MAX(Positions!$C:$C)</f>
        <v>46354</v>
      </c>
      <c r="AG75">
        <f>YEAR(D75)</f>
        <v>2026</v>
      </c>
      <c r="AH75">
        <f>ROUND(F75*$B$14/10000,2)</f>
        <v>143325.55</v>
      </c>
      <c r="AI75">
        <f>AH75-T75</f>
        <v>43893.44999999998</v>
      </c>
      <c r="AJ75">
        <f>AI75*$B$15</f>
        <v>42576.64649999998</v>
      </c>
      <c r="AK75" t="str">
        <f>CONCATENATE(A75," / ",TEXT(AJ75,"0.00"))</f>
        <v>00057 / 42576.65</v>
      </c>
    </row>
    <row r="76">
      <c r="A76" t="inlineStr">
        <is>
          <t>00058</t>
        </is>
      </c>
      <c r="B76" t="str">
        <f>INDEX('Entity Map'!$B:$B,MATCH(A76,'Entity Map'!$A:$A,0))</f>
        <v>Client 058 Holdings</v>
      </c>
      <c r="C76">
        <f>INDEX('Entity Map'!$F:$F,MATCH(A76,'Entity Map'!$A:$A,0))</f>
        <v>45355</v>
      </c>
      <c r="D76">
        <f>MAX(DATE(2026,11,1),C76)</f>
        <v>46327</v>
      </c>
      <c r="E76" t="str">
        <f>TEXT(D76,"yyyy-mm")</f>
        <v>2026-11</v>
      </c>
      <c r="F76">
        <f>AVERAGEIFS(Positions!$F:$F,Positions!$A:$A,A76)</f>
        <v>49059500.635000005</v>
      </c>
      <c r="G76">
        <f>F75</f>
        <v>55125211.805</v>
      </c>
      <c r="H76">
        <f>IF(A76=A75,G76,F76)</f>
        <v>49059500.635000005</v>
      </c>
      <c r="I76">
        <f>VLOOKUP(F76,'Fee Schedule'!$D$5:$F$8,3,TRUE)</f>
        <v>22</v>
      </c>
      <c r="J76">
        <f>IFERROR(VLOOKUP(A76,'Fee Schedule'!$A$5:$B$21,2,FALSE),I76)</f>
        <v>22</v>
      </c>
      <c r="K76" t="str">
        <f>INDEX('Entity Map'!$C:$C,MATCH(A76,'Entity Map'!$A:$A,0))</f>
        <v>LuxCo</v>
      </c>
      <c r="L76" t="str">
        <f>INDEX('Entity Map'!$D:$D,MATCH(A76,'Entity Map'!$A:$A,0))</f>
        <v>CC-130</v>
      </c>
      <c r="M76">
        <f>ROUND(F76*J76/10000,2)</f>
        <v>107930.9</v>
      </c>
      <c r="N76">
        <f>DAY(EOMONTH(D76,0))</f>
        <v>30</v>
      </c>
      <c r="O76">
        <f>DATEDIF(D76,EOMONTH(D76,0),"d")+1</f>
        <v>30</v>
      </c>
      <c r="P76">
        <f>ROUND(M76*O76/N76,2)</f>
        <v>107930.9</v>
      </c>
      <c r="Q76">
        <f>MAX(P76,'Fee Schedule'!$I$3)</f>
        <v>107930.9</v>
      </c>
      <c r="R76">
        <f>MIN(Q76,'Fee Schedule'!$I$4)</f>
        <v>107930.9</v>
      </c>
      <c r="S76">
        <f>IFERROR(R76*'Fee Schedule'!$I$5,0)</f>
        <v>2698.2725</v>
      </c>
      <c r="T76">
        <f>ROUND(R76-S76,2)</f>
        <v>105232.63</v>
      </c>
      <c r="U76">
        <f>IFERROR(VLOOKUP(A76,Overrides!$A:$C,3,FALSE),T76)</f>
        <v>105232.63</v>
      </c>
      <c r="V76" t="str">
        <f>IF(U76=T76,"","OVERRIDE")</f>
        <v/>
      </c>
      <c r="W76" t="str">
        <f>LEFT(A76,3)&amp;"-"&amp;E76</f>
        <v>000-2026-11</v>
      </c>
      <c r="X76">
        <f>COUNTIFS(Positions!$A:$A,A76)</f>
        <v>2</v>
      </c>
      <c r="Y76">
        <f>SUM($U$19:U76)</f>
        <v>5150812.25</v>
      </c>
      <c r="Z76" t="str">
        <f>UPPER(TRIM(INDEX('Entity Map'!$E:$E,MATCH(A76,'Entity Map'!$A:$A,0))))</f>
        <v>BALANCED</v>
      </c>
      <c r="AA76">
        <f>SUMIFS(Positions!$F:$F,Positions!$E:$E,Z76)</f>
        <v>2420753390.7000003</v>
      </c>
      <c r="AB76">
        <f>IFERROR(F76/AA76,0)</f>
        <v>0.020266211677519803</v>
      </c>
      <c r="AC76">
        <f>SUMPRODUCT(Positions!$F$18:$F$185,--(Positions!$A$18:$A$185=A76))</f>
        <v>98119001.27000001</v>
      </c>
      <c r="AD76" t="str">
        <f>IF(U76&gt;40000,"A",IF(U76&gt;8000,"B","C"))</f>
        <v>A</v>
      </c>
      <c r="AE76">
        <f>COUNTIF('Entity Map'!$A:$A,A76)</f>
        <v>1</v>
      </c>
      <c r="AF76">
        <f>MAX(Positions!$C:$C)</f>
        <v>46354</v>
      </c>
      <c r="AG76">
        <f>YEAR(D76)</f>
        <v>2026</v>
      </c>
      <c r="AH76">
        <f>ROUND(F76*$B$14/10000,2)</f>
        <v>127554.7</v>
      </c>
      <c r="AI76">
        <f>AH76-T76</f>
        <v>22322.069999999992</v>
      </c>
      <c r="AJ76">
        <f>AI76*$B$15</f>
        <v>21652.40789999999</v>
      </c>
      <c r="AK76" t="str">
        <f>CONCATENATE(A76," / ",TEXT(AJ76,"0.00"))</f>
        <v>00058 / 21652.41</v>
      </c>
    </row>
    <row r="77">
      <c r="A77" t="inlineStr">
        <is>
          <t>00059</t>
        </is>
      </c>
      <c r="B77" t="str">
        <f>INDEX('Entity Map'!$B:$B,MATCH(A77,'Entity Map'!$A:$A,0))</f>
        <v>Client 059 Holdings</v>
      </c>
      <c r="C77">
        <f>INDEX('Entity Map'!$F:$F,MATCH(A77,'Entity Map'!$A:$A,0))</f>
        <v>46332</v>
      </c>
      <c r="D77">
        <f>MAX(DATE(2026,11,1),C77)</f>
        <v>46332</v>
      </c>
      <c r="E77" t="str">
        <f>TEXT(D77,"yyyy-mm")</f>
        <v>2026-11</v>
      </c>
      <c r="F77">
        <f>AVERAGEIFS(Positions!$F:$F,Positions!$A:$A,A77)</f>
        <v>52532288.985</v>
      </c>
      <c r="G77">
        <f>F76</f>
        <v>49059500.635000005</v>
      </c>
      <c r="H77">
        <f>IF(A77=A76,G77,F77)</f>
        <v>52532288.985</v>
      </c>
      <c r="I77">
        <f>VLOOKUP(F77,'Fee Schedule'!$D$5:$F$8,3,TRUE)</f>
        <v>18.5</v>
      </c>
      <c r="J77">
        <f>IFERROR(VLOOKUP(A77,'Fee Schedule'!$A$5:$B$21,2,FALSE),I77)</f>
        <v>18.5</v>
      </c>
      <c r="K77" t="str">
        <f>INDEX('Entity Map'!$C:$C,MATCH(A77,'Entity Map'!$A:$A,0))</f>
        <v>UKCo</v>
      </c>
      <c r="L77" t="str">
        <f>INDEX('Entity Map'!$D:$D,MATCH(A77,'Entity Map'!$A:$A,0))</f>
        <v>CC-140</v>
      </c>
      <c r="M77">
        <f>ROUND(F77*J77/10000,2)</f>
        <v>97184.73</v>
      </c>
      <c r="N77">
        <f>DAY(EOMONTH(D77,0))</f>
        <v>30</v>
      </c>
      <c r="O77">
        <f>DATEDIF(D77,EOMONTH(D77,0),"d")+1</f>
        <v>25</v>
      </c>
      <c r="P77">
        <f>ROUND(M77*O77/N77,2)</f>
        <v>80987.28</v>
      </c>
      <c r="Q77">
        <f>MAX(P77,'Fee Schedule'!$I$3)</f>
        <v>80987.28</v>
      </c>
      <c r="R77">
        <f>MIN(Q77,'Fee Schedule'!$I$4)</f>
        <v>80987.28</v>
      </c>
      <c r="S77">
        <f>IFERROR(R77*'Fee Schedule'!$I$5,0)</f>
        <v>2024.682</v>
      </c>
      <c r="T77">
        <f>ROUND(R77-S77,2)</f>
        <v>78962.6</v>
      </c>
      <c r="U77">
        <f>IFERROR(VLOOKUP(A77,Overrides!$A:$C,3,FALSE),T77)</f>
        <v>78962.6</v>
      </c>
      <c r="V77" t="str">
        <f>IF(U77=T77,"","OVERRIDE")</f>
        <v/>
      </c>
      <c r="W77" t="str">
        <f>LEFT(A77,3)&amp;"-"&amp;E77</f>
        <v>000-2026-11</v>
      </c>
      <c r="X77">
        <f>COUNTIFS(Positions!$A:$A,A77)</f>
        <v>2</v>
      </c>
      <c r="Y77">
        <f>SUM($U$19:U77)</f>
        <v>5229774.85</v>
      </c>
      <c r="Z77" t="str">
        <f>UPPER(TRIM(INDEX('Entity Map'!$E:$E,MATCH(A77,'Entity Map'!$A:$A,0))))</f>
        <v>EQUITY</v>
      </c>
      <c r="AA77">
        <f>SUMIFS(Positions!$F:$F,Positions!$E:$E,Z77)</f>
        <v>2806311623.609999</v>
      </c>
      <c r="AB77">
        <f>IFERROR(F77/AA77,0)</f>
        <v>0.018719335565956577</v>
      </c>
      <c r="AC77">
        <f>SUMPRODUCT(Positions!$F$18:$F$185,--(Positions!$A$18:$A$185=A77))</f>
        <v>105064577.97</v>
      </c>
      <c r="AD77" t="str">
        <f>IF(U77&gt;40000,"A",IF(U77&gt;8000,"B","C"))</f>
        <v>A</v>
      </c>
      <c r="AE77">
        <f>COUNTIF('Entity Map'!$A:$A,A77)</f>
        <v>1</v>
      </c>
      <c r="AF77">
        <f>MAX(Positions!$C:$C)</f>
        <v>46354</v>
      </c>
      <c r="AG77">
        <f>YEAR(D77)</f>
        <v>2026</v>
      </c>
      <c r="AH77">
        <f>ROUND(F77*$B$14/10000,2)</f>
        <v>136583.95</v>
      </c>
      <c r="AI77">
        <f>AH77-T77</f>
        <v>57621.350000000006</v>
      </c>
      <c r="AJ77">
        <f>AI77*$B$15</f>
        <v>55892.709500000004</v>
      </c>
      <c r="AK77" t="str">
        <f>CONCATENATE(A77," / ",TEXT(AJ77,"0.00"))</f>
        <v>00059 / 55892.71</v>
      </c>
    </row>
    <row r="78">
      <c r="A78" t="inlineStr">
        <is>
          <t>00060</t>
        </is>
      </c>
      <c r="B78" t="str">
        <f>INDEX('Entity Map'!$B:$B,MATCH(A78,'Entity Map'!$A:$A,0))</f>
        <v>Client 060 Holdings</v>
      </c>
      <c r="C78">
        <f>INDEX('Entity Map'!$F:$F,MATCH(A78,'Entity Map'!$A:$A,0))</f>
        <v>45357</v>
      </c>
      <c r="D78">
        <f>MAX(DATE(2026,11,1),C78)</f>
        <v>46327</v>
      </c>
      <c r="E78" t="str">
        <f>TEXT(D78,"yyyy-mm")</f>
        <v>2026-11</v>
      </c>
      <c r="F78">
        <f>AVERAGEIFS(Positions!$F:$F,Positions!$A:$A,A78)</f>
        <v>54059087.985</v>
      </c>
      <c r="G78">
        <f>F77</f>
        <v>52532288.985</v>
      </c>
      <c r="H78">
        <f>IF(A78=A77,G78,F78)</f>
        <v>54059087.985</v>
      </c>
      <c r="I78">
        <f>VLOOKUP(F78,'Fee Schedule'!$D$5:$F$8,3,TRUE)</f>
        <v>18.5</v>
      </c>
      <c r="J78">
        <f>IFERROR(VLOOKUP(A78,'Fee Schedule'!$A$5:$B$21,2,FALSE),I78)</f>
        <v>18.5</v>
      </c>
      <c r="K78" t="str">
        <f>INDEX('Entity Map'!$C:$C,MATCH(A78,'Entity Map'!$A:$A,0))</f>
        <v>DubCo</v>
      </c>
      <c r="L78" t="str">
        <f>INDEX('Entity Map'!$D:$D,MATCH(A78,'Entity Map'!$A:$A,0))</f>
        <v>CC-150</v>
      </c>
      <c r="M78">
        <f>ROUND(F78*J78/10000,2)</f>
        <v>100009.31</v>
      </c>
      <c r="N78">
        <f>DAY(EOMONTH(D78,0))</f>
        <v>30</v>
      </c>
      <c r="O78">
        <f>DATEDIF(D78,EOMONTH(D78,0),"d")+1</f>
        <v>30</v>
      </c>
      <c r="P78">
        <f>ROUND(M78*O78/N78,2)</f>
        <v>100009.31</v>
      </c>
      <c r="Q78">
        <f>MAX(P78,'Fee Schedule'!$I$3)</f>
        <v>100009.31</v>
      </c>
      <c r="R78">
        <f>MIN(Q78,'Fee Schedule'!$I$4)</f>
        <v>100009.31</v>
      </c>
      <c r="S78">
        <f>IFERROR(R78*'Fee Schedule'!$I$5,0)</f>
        <v>2500.23275</v>
      </c>
      <c r="T78">
        <f>ROUND(R78-S78,2)</f>
        <v>97509.08</v>
      </c>
      <c r="U78">
        <f>IFERROR(VLOOKUP(A78,Overrides!$A:$C,3,FALSE),T78)</f>
        <v>97509.08</v>
      </c>
      <c r="V78" t="str">
        <f>IF(U78=T78,"","OVERRIDE")</f>
        <v/>
      </c>
      <c r="W78" t="str">
        <f>LEFT(A78,3)&amp;"-"&amp;E78</f>
        <v>000-2026-11</v>
      </c>
      <c r="X78">
        <f>COUNTIFS(Positions!$A:$A,A78)</f>
        <v>2</v>
      </c>
      <c r="Y78">
        <f>SUM($U$19:U78)</f>
        <v>5327283.93</v>
      </c>
      <c r="Z78" t="str">
        <f>UPPER(TRIM(INDEX('Entity Map'!$E:$E,MATCH(A78,'Entity Map'!$A:$A,0))))</f>
        <v>FIXED INCOME</v>
      </c>
      <c r="AA78">
        <f>SUMIFS(Positions!$F:$F,Positions!$E:$E,Z78)</f>
        <v>2496645976.4</v>
      </c>
      <c r="AB78">
        <f>IFERROR(F78/AA78,0)</f>
        <v>0.02165268464011452</v>
      </c>
      <c r="AC78">
        <f>SUMPRODUCT(Positions!$F$18:$F$185,--(Positions!$A$18:$A$185=A78))</f>
        <v>108118175.97</v>
      </c>
      <c r="AD78" t="str">
        <f>IF(U78&gt;40000,"A",IF(U78&gt;8000,"B","C"))</f>
        <v>A</v>
      </c>
      <c r="AE78">
        <f>COUNTIF('Entity Map'!$A:$A,A78)</f>
        <v>1</v>
      </c>
      <c r="AF78">
        <f>MAX(Positions!$C:$C)</f>
        <v>46354</v>
      </c>
      <c r="AG78">
        <f>YEAR(D78)</f>
        <v>2026</v>
      </c>
      <c r="AH78">
        <f>ROUND(F78*$B$14/10000,2)</f>
        <v>140553.63</v>
      </c>
      <c r="AI78">
        <f>AH78-T78</f>
        <v>43044.55</v>
      </c>
      <c r="AJ78">
        <f>AI78*$B$15</f>
        <v>41753.213500000005</v>
      </c>
      <c r="AK78" t="str">
        <f>CONCATENATE(A78," / ",TEXT(AJ78,"0.00"))</f>
        <v>00060 / 41753.21</v>
      </c>
    </row>
    <row r="79">
      <c r="A79" t="inlineStr">
        <is>
          <t>00061</t>
        </is>
      </c>
      <c r="B79" t="str">
        <f>INDEX('Entity Map'!$B:$B,MATCH(A79,'Entity Map'!$A:$A,0))</f>
        <v>Client 061 Holdings</v>
      </c>
      <c r="C79">
        <f>INDEX('Entity Map'!$F:$F,MATCH(A79,'Entity Map'!$A:$A,0))</f>
        <v>45358</v>
      </c>
      <c r="D79">
        <f>MAX(DATE(2026,11,1),C79)</f>
        <v>46327</v>
      </c>
      <c r="E79" t="str">
        <f>TEXT(D79,"yyyy-mm")</f>
        <v>2026-11</v>
      </c>
      <c r="F79">
        <f>AVERAGEIFS(Positions!$F:$F,Positions!$A:$A,A79)</f>
        <v>44944402.64</v>
      </c>
      <c r="G79">
        <f>F78</f>
        <v>54059087.985</v>
      </c>
      <c r="H79">
        <f>IF(A79=A78,G79,F79)</f>
        <v>44944402.64</v>
      </c>
      <c r="I79">
        <f>VLOOKUP(F79,'Fee Schedule'!$D$5:$F$8,3,TRUE)</f>
        <v>22</v>
      </c>
      <c r="J79">
        <f>IFERROR(VLOOKUP(A79,'Fee Schedule'!$A$5:$B$21,2,FALSE),I79)</f>
        <v>29</v>
      </c>
      <c r="K79" t="str">
        <f>INDEX('Entity Map'!$C:$C,MATCH(A79,'Entity Map'!$A:$A,0))</f>
        <v>LuxCo</v>
      </c>
      <c r="L79" t="str">
        <f>INDEX('Entity Map'!$D:$D,MATCH(A79,'Entity Map'!$A:$A,0))</f>
        <v>CC-100</v>
      </c>
      <c r="M79">
        <f>ROUND(F79*J79/10000,2)</f>
        <v>130338.77</v>
      </c>
      <c r="N79">
        <f>DAY(EOMONTH(D79,0))</f>
        <v>30</v>
      </c>
      <c r="O79">
        <f>DATEDIF(D79,EOMONTH(D79,0),"d")+1</f>
        <v>30</v>
      </c>
      <c r="P79">
        <f>ROUND(M79*O79/N79,2)</f>
        <v>130338.77</v>
      </c>
      <c r="Q79">
        <f>MAX(P79,'Fee Schedule'!$I$3)</f>
        <v>130338.77</v>
      </c>
      <c r="R79">
        <f>MIN(Q79,'Fee Schedule'!$I$4)</f>
        <v>130338.77</v>
      </c>
      <c r="S79">
        <f>IFERROR(R79*'Fee Schedule'!$I$5,0)</f>
        <v>3258.46925</v>
      </c>
      <c r="T79">
        <f>ROUND(R79-S79,2)</f>
        <v>127080.3</v>
      </c>
      <c r="U79">
        <f>IFERROR(VLOOKUP(A79,Overrides!$A:$C,3,FALSE),T79)</f>
        <v>127080.3</v>
      </c>
      <c r="V79" t="str">
        <f>IF(U79=T79,"","OVERRIDE")</f>
        <v/>
      </c>
      <c r="W79" t="str">
        <f>LEFT(A79,3)&amp;"-"&amp;E79</f>
        <v>000-2026-11</v>
      </c>
      <c r="X79">
        <f>COUNTIFS(Positions!$A:$A,A79)</f>
        <v>2</v>
      </c>
      <c r="Y79">
        <f>SUM($U$19:U79)</f>
        <v>5454364.23</v>
      </c>
      <c r="Z79" t="str">
        <f>UPPER(TRIM(INDEX('Entity Map'!$E:$E,MATCH(A79,'Entity Map'!$A:$A,0))))</f>
        <v>BALANCED</v>
      </c>
      <c r="AA79">
        <f>SUMIFS(Positions!$F:$F,Positions!$E:$E,Z79)</f>
        <v>2420753390.7000003</v>
      </c>
      <c r="AB79">
        <f>IFERROR(F79/AA79,0)</f>
        <v>0.01856628717847364</v>
      </c>
      <c r="AC79">
        <f>SUMPRODUCT(Positions!$F$18:$F$185,--(Positions!$A$18:$A$185=A79))</f>
        <v>89888805.28</v>
      </c>
      <c r="AD79" t="str">
        <f>IF(U79&gt;40000,"A",IF(U79&gt;8000,"B","C"))</f>
        <v>A</v>
      </c>
      <c r="AE79">
        <f>COUNTIF('Entity Map'!$A:$A,A79)</f>
        <v>1</v>
      </c>
      <c r="AF79">
        <f>MAX(Positions!$C:$C)</f>
        <v>46354</v>
      </c>
      <c r="AG79">
        <f>YEAR(D79)</f>
        <v>2026</v>
      </c>
      <c r="AH79">
        <f>ROUND(F79*$B$14/10000,2)</f>
        <v>116855.45</v>
      </c>
      <c r="AI79">
        <f>AH79-T79</f>
        <v>-10224.850000000006</v>
      </c>
      <c r="AJ79">
        <f>AI79*$B$15</f>
        <v>-9918.104500000005</v>
      </c>
      <c r="AK79" t="str">
        <f>CONCATENATE(A79," / ",TEXT(AJ79,"0.00"))</f>
        <v>00061 / -9918.10</v>
      </c>
    </row>
    <row r="80">
      <c r="A80" t="inlineStr">
        <is>
          <t>00062</t>
        </is>
      </c>
      <c r="B80" t="str">
        <f>INDEX('Entity Map'!$B:$B,MATCH(A80,'Entity Map'!$A:$A,0))</f>
        <v>Client 062 Holdings</v>
      </c>
      <c r="C80">
        <f>INDEX('Entity Map'!$F:$F,MATCH(A80,'Entity Map'!$A:$A,0))</f>
        <v>45359</v>
      </c>
      <c r="D80">
        <f>MAX(DATE(2026,11,1),C80)</f>
        <v>46327</v>
      </c>
      <c r="E80" t="str">
        <f>TEXT(D80,"yyyy-mm")</f>
        <v>2026-11</v>
      </c>
      <c r="F80">
        <f>AVERAGEIFS(Positions!$F:$F,Positions!$A:$A,A80)</f>
        <v>51496775.47</v>
      </c>
      <c r="G80">
        <f>F79</f>
        <v>44944402.64</v>
      </c>
      <c r="H80">
        <f>IF(A80=A79,G80,F80)</f>
        <v>51496775.47</v>
      </c>
      <c r="I80">
        <f>VLOOKUP(F80,'Fee Schedule'!$D$5:$F$8,3,TRUE)</f>
        <v>18.5</v>
      </c>
      <c r="J80">
        <f>IFERROR(VLOOKUP(A80,'Fee Schedule'!$A$5:$B$21,2,FALSE),I80)</f>
        <v>18.5</v>
      </c>
      <c r="K80" t="str">
        <f>INDEX('Entity Map'!$C:$C,MATCH(A80,'Entity Map'!$A:$A,0))</f>
        <v>UKCo</v>
      </c>
      <c r="L80" t="str">
        <f>INDEX('Entity Map'!$D:$D,MATCH(A80,'Entity Map'!$A:$A,0))</f>
        <v>CC-110</v>
      </c>
      <c r="M80">
        <f>ROUND(F80*J80/10000,2)</f>
        <v>95269.03</v>
      </c>
      <c r="N80">
        <f>DAY(EOMONTH(D80,0))</f>
        <v>30</v>
      </c>
      <c r="O80">
        <f>DATEDIF(D80,EOMONTH(D80,0),"d")+1</f>
        <v>30</v>
      </c>
      <c r="P80">
        <f>ROUND(M80*O80/N80,2)</f>
        <v>95269.03</v>
      </c>
      <c r="Q80">
        <f>MAX(P80,'Fee Schedule'!$I$3)</f>
        <v>95269.03</v>
      </c>
      <c r="R80">
        <f>MIN(Q80,'Fee Schedule'!$I$4)</f>
        <v>95269.03</v>
      </c>
      <c r="S80">
        <f>IFERROR(R80*'Fee Schedule'!$I$5,0)</f>
        <v>2381.72575</v>
      </c>
      <c r="T80">
        <f>ROUND(R80-S80,2)</f>
        <v>92887.3</v>
      </c>
      <c r="U80">
        <f>IFERROR(VLOOKUP(A80,Overrides!$A:$C,3,FALSE),T80)</f>
        <v>4220.75</v>
      </c>
      <c r="V80" t="str">
        <f>IF(U80=T80,"","OVERRIDE")</f>
        <v>OVERRIDE</v>
      </c>
      <c r="W80" t="str">
        <f>LEFT(A80,3)&amp;"-"&amp;E80</f>
        <v>000-2026-11</v>
      </c>
      <c r="X80">
        <f>COUNTIFS(Positions!$A:$A,A80)</f>
        <v>2</v>
      </c>
      <c r="Y80">
        <f>SUM($U$19:U80)</f>
        <v>5458584.98</v>
      </c>
      <c r="Z80" t="str">
        <f>UPPER(TRIM(INDEX('Entity Map'!$E:$E,MATCH(A80,'Entity Map'!$A:$A,0))))</f>
        <v>EQUITY</v>
      </c>
      <c r="AA80">
        <f>SUMIFS(Positions!$F:$F,Positions!$E:$E,Z80)</f>
        <v>2806311623.609999</v>
      </c>
      <c r="AB80">
        <f>IFERROR(F80/AA80,0)</f>
        <v>0.0183503410799957</v>
      </c>
      <c r="AC80">
        <f>SUMPRODUCT(Positions!$F$18:$F$185,--(Positions!$A$18:$A$185=A80))</f>
        <v>102993550.94</v>
      </c>
      <c r="AD80" t="str">
        <f>IF(U80&gt;40000,"A",IF(U80&gt;8000,"B","C"))</f>
        <v>C</v>
      </c>
      <c r="AE80">
        <f>COUNTIF('Entity Map'!$A:$A,A80)</f>
        <v>1</v>
      </c>
      <c r="AF80">
        <f>MAX(Positions!$C:$C)</f>
        <v>46354</v>
      </c>
      <c r="AG80">
        <f>YEAR(D80)</f>
        <v>2026</v>
      </c>
      <c r="AH80">
        <f>ROUND(F80*$B$14/10000,2)</f>
        <v>133891.62</v>
      </c>
      <c r="AI80">
        <f>AH80-T80</f>
        <v>41004.31999999999</v>
      </c>
      <c r="AJ80">
        <f>AI80*$B$15</f>
        <v>39774.19039999999</v>
      </c>
      <c r="AK80" t="str">
        <f>CONCATENATE(A80," / ",TEXT(AJ80,"0.00"))</f>
        <v>00062 / 39774.19</v>
      </c>
    </row>
    <row r="81">
      <c r="A81" t="inlineStr">
        <is>
          <t>00063</t>
        </is>
      </c>
      <c r="B81" t="str">
        <f>INDEX('Entity Map'!$B:$B,MATCH(A81,'Entity Map'!$A:$A,0))</f>
        <v>Client 063 Holdings</v>
      </c>
      <c r="C81">
        <f>INDEX('Entity Map'!$F:$F,MATCH(A81,'Entity Map'!$A:$A,0))</f>
        <v>45360</v>
      </c>
      <c r="D81">
        <f>MAX(DATE(2026,11,1),C81)</f>
        <v>46327</v>
      </c>
      <c r="E81" t="str">
        <f>TEXT(D81,"yyyy-mm")</f>
        <v>2026-11</v>
      </c>
      <c r="F81">
        <f>AVERAGEIFS(Positions!$F:$F,Positions!$A:$A,A81)</f>
        <v>36919924.585</v>
      </c>
      <c r="G81">
        <f>F80</f>
        <v>51496775.47</v>
      </c>
      <c r="H81">
        <f>IF(A81=A80,G81,F81)</f>
        <v>36919924.585</v>
      </c>
      <c r="I81">
        <f>VLOOKUP(F81,'Fee Schedule'!$D$5:$F$8,3,TRUE)</f>
        <v>22</v>
      </c>
      <c r="J81">
        <f>IFERROR(VLOOKUP(A81,'Fee Schedule'!$A$5:$B$21,2,FALSE),I81)</f>
        <v>22</v>
      </c>
      <c r="K81" t="str">
        <f>INDEX('Entity Map'!$C:$C,MATCH(A81,'Entity Map'!$A:$A,0))</f>
        <v>DubCo</v>
      </c>
      <c r="L81" t="str">
        <f>INDEX('Entity Map'!$D:$D,MATCH(A81,'Entity Map'!$A:$A,0))</f>
        <v>CC-120</v>
      </c>
      <c r="M81">
        <f>ROUND(F81*J81/10000,2)</f>
        <v>81223.83</v>
      </c>
      <c r="N81">
        <f>DAY(EOMONTH(D81,0))</f>
        <v>30</v>
      </c>
      <c r="O81">
        <f>DATEDIF(D81,EOMONTH(D81,0),"d")+1</f>
        <v>30</v>
      </c>
      <c r="P81">
        <f>ROUND(M81*O81/N81,2)</f>
        <v>81223.83</v>
      </c>
      <c r="Q81">
        <f>MAX(P81,'Fee Schedule'!$I$3)</f>
        <v>81223.83</v>
      </c>
      <c r="R81">
        <f>MIN(Q81,'Fee Schedule'!$I$4)</f>
        <v>81223.83</v>
      </c>
      <c r="S81">
        <f>IFERROR(R81*'Fee Schedule'!$I$5,0)</f>
        <v>2030.5957500000002</v>
      </c>
      <c r="T81">
        <f>ROUND(R81-S81,2)</f>
        <v>79193.23</v>
      </c>
      <c r="U81">
        <f>IFERROR(VLOOKUP(A81,Overrides!$A:$C,3,FALSE),T81)</f>
        <v>79193.23</v>
      </c>
      <c r="V81" t="str">
        <f>IF(U81=T81,"","OVERRIDE")</f>
        <v/>
      </c>
      <c r="W81" t="str">
        <f>LEFT(A81,3)&amp;"-"&amp;E81</f>
        <v>000-2026-11</v>
      </c>
      <c r="X81">
        <f>COUNTIFS(Positions!$A:$A,A81)</f>
        <v>2</v>
      </c>
      <c r="Y81">
        <f>SUM($U$19:U81)</f>
        <v>5537778.21</v>
      </c>
      <c r="Z81" t="str">
        <f>UPPER(TRIM(INDEX('Entity Map'!$E:$E,MATCH(A81,'Entity Map'!$A:$A,0))))</f>
        <v>FIXED INCOME</v>
      </c>
      <c r="AA81">
        <f>SUMIFS(Positions!$F:$F,Positions!$E:$E,Z81)</f>
        <v>2496645976.4</v>
      </c>
      <c r="AB81">
        <f>IFERROR(F81/AA81,0)</f>
        <v>0.014787809298551858</v>
      </c>
      <c r="AC81">
        <f>SUMPRODUCT(Positions!$F$18:$F$185,--(Positions!$A$18:$A$185=A81))</f>
        <v>73839849.17</v>
      </c>
      <c r="AD81" t="str">
        <f>IF(U81&gt;40000,"A",IF(U81&gt;8000,"B","C"))</f>
        <v>A</v>
      </c>
      <c r="AE81">
        <f>COUNTIF('Entity Map'!$A:$A,A81)</f>
        <v>1</v>
      </c>
      <c r="AF81">
        <f>MAX(Positions!$C:$C)</f>
        <v>46354</v>
      </c>
      <c r="AG81">
        <f>YEAR(D81)</f>
        <v>2026</v>
      </c>
      <c r="AH81">
        <f>ROUND(F81*$B$14/10000,2)</f>
        <v>95991.8</v>
      </c>
      <c r="AI81">
        <f>AH81-T81</f>
        <v>16798.570000000007</v>
      </c>
      <c r="AJ81">
        <f>AI81*$B$15</f>
        <v>16294.612900000006</v>
      </c>
      <c r="AK81" t="str">
        <f>CONCATENATE(A81," / ",TEXT(AJ81,"0.00"))</f>
        <v>00063 / 16294.61</v>
      </c>
    </row>
    <row r="82">
      <c r="A82" t="inlineStr">
        <is>
          <t>00064</t>
        </is>
      </c>
      <c r="B82" t="str">
        <f>INDEX('Entity Map'!$B:$B,MATCH(A82,'Entity Map'!$A:$A,0))</f>
        <v>Client 064 Holdings</v>
      </c>
      <c r="C82">
        <f>INDEX('Entity Map'!$F:$F,MATCH(A82,'Entity Map'!$A:$A,0))</f>
        <v>45361</v>
      </c>
      <c r="D82">
        <f>MAX(DATE(2026,11,1),C82)</f>
        <v>46327</v>
      </c>
      <c r="E82" t="str">
        <f>TEXT(D82,"yyyy-mm")</f>
        <v>2026-11</v>
      </c>
      <c r="F82">
        <f>AVERAGEIFS(Positions!$F:$F,Positions!$A:$A,A82)</f>
        <v>28266725.575</v>
      </c>
      <c r="G82">
        <f>F81</f>
        <v>36919924.585</v>
      </c>
      <c r="H82">
        <f>IF(A82=A81,G82,F82)</f>
        <v>28266725.575</v>
      </c>
      <c r="I82">
        <f>VLOOKUP(F82,'Fee Schedule'!$D$5:$F$8,3,TRUE)</f>
        <v>22</v>
      </c>
      <c r="J82">
        <f>IFERROR(VLOOKUP(A82,'Fee Schedule'!$A$5:$B$21,2,FALSE),I82)</f>
        <v>22</v>
      </c>
      <c r="K82" t="str">
        <f>INDEX('Entity Map'!$C:$C,MATCH(A82,'Entity Map'!$A:$A,0))</f>
        <v>LuxCo</v>
      </c>
      <c r="L82" t="str">
        <f>INDEX('Entity Map'!$D:$D,MATCH(A82,'Entity Map'!$A:$A,0))</f>
        <v>CC-130</v>
      </c>
      <c r="M82">
        <f>ROUND(F82*J82/10000,2)</f>
        <v>62186.8</v>
      </c>
      <c r="N82">
        <f>DAY(EOMONTH(D82,0))</f>
        <v>30</v>
      </c>
      <c r="O82">
        <f>DATEDIF(D82,EOMONTH(D82,0),"d")+1</f>
        <v>30</v>
      </c>
      <c r="P82">
        <f>ROUND(M82*O82/N82,2)</f>
        <v>62186.8</v>
      </c>
      <c r="Q82">
        <f>MAX(P82,'Fee Schedule'!$I$3)</f>
        <v>62186.8</v>
      </c>
      <c r="R82">
        <f>MIN(Q82,'Fee Schedule'!$I$4)</f>
        <v>62186.8</v>
      </c>
      <c r="S82">
        <f>IFERROR(R82*'Fee Schedule'!$I$5,0)</f>
        <v>1554.67</v>
      </c>
      <c r="T82">
        <f>ROUND(R82-S82,2)</f>
        <v>60632.13</v>
      </c>
      <c r="U82">
        <f>IFERROR(VLOOKUP(A82,Overrides!$A:$C,3,FALSE),T82)</f>
        <v>60632.13</v>
      </c>
      <c r="V82" t="str">
        <f>IF(U82=T82,"","OVERRIDE")</f>
        <v/>
      </c>
      <c r="W82" t="str">
        <f>LEFT(A82,3)&amp;"-"&amp;E82</f>
        <v>000-2026-11</v>
      </c>
      <c r="X82">
        <f>COUNTIFS(Positions!$A:$A,A82)</f>
        <v>2</v>
      </c>
      <c r="Y82">
        <f>SUM($U$19:U82)</f>
        <v>5598410.34</v>
      </c>
      <c r="Z82" t="str">
        <f>UPPER(TRIM(INDEX('Entity Map'!$E:$E,MATCH(A82,'Entity Map'!$A:$A,0))))</f>
        <v>BALANCED</v>
      </c>
      <c r="AA82">
        <f>SUMIFS(Positions!$F:$F,Positions!$E:$E,Z82)</f>
        <v>2420753390.7000003</v>
      </c>
      <c r="AB82">
        <f>IFERROR(F82/AA82,0)</f>
        <v>0.011676829900804648</v>
      </c>
      <c r="AC82">
        <f>SUMPRODUCT(Positions!$F$18:$F$185,--(Positions!$A$18:$A$185=A82))</f>
        <v>56533451.15</v>
      </c>
      <c r="AD82" t="str">
        <f>IF(U82&gt;40000,"A",IF(U82&gt;8000,"B","C"))</f>
        <v>A</v>
      </c>
      <c r="AE82">
        <f>COUNTIF('Entity Map'!$A:$A,A82)</f>
        <v>1</v>
      </c>
      <c r="AF82">
        <f>MAX(Positions!$C:$C)</f>
        <v>46354</v>
      </c>
      <c r="AG82">
        <f>YEAR(D82)</f>
        <v>2026</v>
      </c>
      <c r="AH82">
        <f>ROUND(F82*$B$14/10000,2)</f>
        <v>73493.49</v>
      </c>
      <c r="AI82">
        <f>AH82-T82</f>
        <v>12861.360000000008</v>
      </c>
      <c r="AJ82">
        <f>AI82*$B$15</f>
        <v>12475.519200000008</v>
      </c>
      <c r="AK82" t="str">
        <f>CONCATENATE(A82," / ",TEXT(AJ82,"0.00"))</f>
        <v>00064 / 12475.52</v>
      </c>
    </row>
    <row r="83">
      <c r="A83" t="inlineStr">
        <is>
          <t>00065</t>
        </is>
      </c>
      <c r="B83" t="str">
        <f>INDEX('Entity Map'!$B:$B,MATCH(A83,'Entity Map'!$A:$A,0))</f>
        <v>Client 065 Holdings</v>
      </c>
      <c r="C83">
        <f>INDEX('Entity Map'!$F:$F,MATCH(A83,'Entity Map'!$A:$A,0))</f>
        <v>45362</v>
      </c>
      <c r="D83">
        <f>MAX(DATE(2026,11,1),C83)</f>
        <v>46327</v>
      </c>
      <c r="E83" t="str">
        <f>TEXT(D83,"yyyy-mm")</f>
        <v>2026-11</v>
      </c>
      <c r="F83">
        <f>AVERAGEIFS(Positions!$F:$F,Positions!$A:$A,A83)</f>
        <v>75170199.64</v>
      </c>
      <c r="G83">
        <f>F82</f>
        <v>28266725.575</v>
      </c>
      <c r="H83">
        <f>IF(A83=A82,G83,F83)</f>
        <v>75170199.64</v>
      </c>
      <c r="I83">
        <f>VLOOKUP(F83,'Fee Schedule'!$D$5:$F$8,3,TRUE)</f>
        <v>18.5</v>
      </c>
      <c r="J83">
        <f>IFERROR(VLOOKUP(A83,'Fee Schedule'!$A$5:$B$21,2,FALSE),I83)</f>
        <v>18.5</v>
      </c>
      <c r="K83" t="str">
        <f>INDEX('Entity Map'!$C:$C,MATCH(A83,'Entity Map'!$A:$A,0))</f>
        <v>UKCo</v>
      </c>
      <c r="L83" t="str">
        <f>INDEX('Entity Map'!$D:$D,MATCH(A83,'Entity Map'!$A:$A,0))</f>
        <v>CC-140</v>
      </c>
      <c r="M83">
        <f>ROUND(F83*J83/10000,2)</f>
        <v>139064.87</v>
      </c>
      <c r="N83">
        <f>DAY(EOMONTH(D83,0))</f>
        <v>30</v>
      </c>
      <c r="O83">
        <f>DATEDIF(D83,EOMONTH(D83,0),"d")+1</f>
        <v>30</v>
      </c>
      <c r="P83">
        <f>ROUND(M83*O83/N83,2)</f>
        <v>139064.87</v>
      </c>
      <c r="Q83">
        <f>MAX(P83,'Fee Schedule'!$I$3)</f>
        <v>139064.87</v>
      </c>
      <c r="R83">
        <f>MIN(Q83,'Fee Schedule'!$I$4)</f>
        <v>139064.87</v>
      </c>
      <c r="S83">
        <f>IFERROR(R83*'Fee Schedule'!$I$5,0)</f>
        <v>3476.6217500000002</v>
      </c>
      <c r="T83">
        <f>ROUND(R83-S83,2)</f>
        <v>135588.25</v>
      </c>
      <c r="U83">
        <f>IFERROR(VLOOKUP(A83,Overrides!$A:$C,3,FALSE),T83)</f>
        <v>135588.25</v>
      </c>
      <c r="V83" t="str">
        <f>IF(U83=T83,"","OVERRIDE")</f>
        <v/>
      </c>
      <c r="W83" t="str">
        <f>LEFT(A83,3)&amp;"-"&amp;E83</f>
        <v>000-2026-11</v>
      </c>
      <c r="X83">
        <f>COUNTIFS(Positions!$A:$A,A83)</f>
        <v>2</v>
      </c>
      <c r="Y83">
        <f>SUM($U$19:U83)</f>
        <v>5733998.59</v>
      </c>
      <c r="Z83" t="str">
        <f>UPPER(TRIM(INDEX('Entity Map'!$E:$E,MATCH(A83,'Entity Map'!$A:$A,0))))</f>
        <v>EQUITY</v>
      </c>
      <c r="AA83">
        <f>SUMIFS(Positions!$F:$F,Positions!$E:$E,Z83)</f>
        <v>2806311623.609999</v>
      </c>
      <c r="AB83">
        <f>IFERROR(F83/AA83,0)</f>
        <v>0.026786119904710415</v>
      </c>
      <c r="AC83">
        <f>SUMPRODUCT(Positions!$F$18:$F$185,--(Positions!$A$18:$A$185=A83))</f>
        <v>150340399.28</v>
      </c>
      <c r="AD83" t="str">
        <f>IF(U83&gt;40000,"A",IF(U83&gt;8000,"B","C"))</f>
        <v>A</v>
      </c>
      <c r="AE83">
        <f>COUNTIF('Entity Map'!$A:$A,A83)</f>
        <v>1</v>
      </c>
      <c r="AF83">
        <f>MAX(Positions!$C:$C)</f>
        <v>46354</v>
      </c>
      <c r="AG83">
        <f>YEAR(D83)</f>
        <v>2026</v>
      </c>
      <c r="AH83">
        <f>ROUND(F83*$B$14/10000,2)</f>
        <v>195442.52</v>
      </c>
      <c r="AI83">
        <f>AH83-T83</f>
        <v>59854.26999999999</v>
      </c>
      <c r="AJ83">
        <f>AI83*$B$15</f>
        <v>58058.64189999999</v>
      </c>
      <c r="AK83" t="str">
        <f>CONCATENATE(A83," / ",TEXT(AJ83,"0.00"))</f>
        <v>00065 / 58058.64</v>
      </c>
    </row>
    <row r="84">
      <c r="A84" t="inlineStr">
        <is>
          <t>00066</t>
        </is>
      </c>
      <c r="B84" t="str">
        <f>INDEX('Entity Map'!$B:$B,MATCH(A84,'Entity Map'!$A:$A,0))</f>
        <v>Client 066 Holdings</v>
      </c>
      <c r="C84">
        <f>INDEX('Entity Map'!$F:$F,MATCH(A84,'Entity Map'!$A:$A,0))</f>
        <v>45363</v>
      </c>
      <c r="D84">
        <f>MAX(DATE(2026,11,1),C84)</f>
        <v>46327</v>
      </c>
      <c r="E84" t="str">
        <f>TEXT(D84,"yyyy-mm")</f>
        <v>2026-11</v>
      </c>
      <c r="F84">
        <f>AVERAGEIFS(Positions!$F:$F,Positions!$A:$A,A84)</f>
        <v>83871450.89500001</v>
      </c>
      <c r="G84">
        <f>F83</f>
        <v>75170199.64</v>
      </c>
      <c r="H84">
        <f>IF(A84=A83,G84,F84)</f>
        <v>83871450.89500001</v>
      </c>
      <c r="I84">
        <f>VLOOKUP(F84,'Fee Schedule'!$D$5:$F$8,3,TRUE)</f>
        <v>18.5</v>
      </c>
      <c r="J84">
        <f>IFERROR(VLOOKUP(A84,'Fee Schedule'!$A$5:$B$21,2,FALSE),I84)</f>
        <v>23</v>
      </c>
      <c r="K84" t="str">
        <f>INDEX('Entity Map'!$C:$C,MATCH(A84,'Entity Map'!$A:$A,0))</f>
        <v>DubCo</v>
      </c>
      <c r="L84" t="str">
        <f>INDEX('Entity Map'!$D:$D,MATCH(A84,'Entity Map'!$A:$A,0))</f>
        <v>CC-150</v>
      </c>
      <c r="M84">
        <f>ROUND(F84*J84/10000,2)</f>
        <v>192904.34</v>
      </c>
      <c r="N84">
        <f>DAY(EOMONTH(D84,0))</f>
        <v>30</v>
      </c>
      <c r="O84">
        <f>DATEDIF(D84,EOMONTH(D84,0),"d")+1</f>
        <v>30</v>
      </c>
      <c r="P84">
        <f>ROUND(M84*O84/N84,2)</f>
        <v>192904.34</v>
      </c>
      <c r="Q84">
        <f>MAX(P84,'Fee Schedule'!$I$3)</f>
        <v>192904.34</v>
      </c>
      <c r="R84">
        <f>MIN(Q84,'Fee Schedule'!$I$4)</f>
        <v>192904.34</v>
      </c>
      <c r="S84">
        <f>IFERROR(R84*'Fee Schedule'!$I$5,0)</f>
        <v>4822.6085</v>
      </c>
      <c r="T84">
        <f>ROUND(R84-S84,2)</f>
        <v>188081.73</v>
      </c>
      <c r="U84">
        <f>IFERROR(VLOOKUP(A84,Overrides!$A:$C,3,FALSE),T84)</f>
        <v>188081.73</v>
      </c>
      <c r="V84" t="str">
        <f>IF(U84=T84,"","OVERRIDE")</f>
        <v/>
      </c>
      <c r="W84" t="str">
        <f>LEFT(A84,3)&amp;"-"&amp;E84</f>
        <v>000-2026-11</v>
      </c>
      <c r="X84">
        <f>COUNTIFS(Positions!$A:$A,A84)</f>
        <v>2</v>
      </c>
      <c r="Y84">
        <f>SUM($U$19:U84)</f>
        <v>5922080.32</v>
      </c>
      <c r="Z84" t="str">
        <f>UPPER(TRIM(INDEX('Entity Map'!$E:$E,MATCH(A84,'Entity Map'!$A:$A,0))))</f>
        <v>FIXED INCOME</v>
      </c>
      <c r="AA84">
        <f>SUMIFS(Positions!$F:$F,Positions!$E:$E,Z84)</f>
        <v>2496645976.4</v>
      </c>
      <c r="AB84">
        <f>IFERROR(F84/AA84,0)</f>
        <v>0.03359364991585116</v>
      </c>
      <c r="AC84">
        <f>SUMPRODUCT(Positions!$F$18:$F$185,--(Positions!$A$18:$A$185=A84))</f>
        <v>167742901.79000002</v>
      </c>
      <c r="AD84" t="str">
        <f>IF(U84&gt;40000,"A",IF(U84&gt;8000,"B","C"))</f>
        <v>A</v>
      </c>
      <c r="AE84">
        <f>COUNTIF('Entity Map'!$A:$A,A84)</f>
        <v>1</v>
      </c>
      <c r="AF84">
        <f>MAX(Positions!$C:$C)</f>
        <v>46354</v>
      </c>
      <c r="AG84">
        <f>YEAR(D84)</f>
        <v>2026</v>
      </c>
      <c r="AH84">
        <f>ROUND(F84*$B$14/10000,2)</f>
        <v>218065.77</v>
      </c>
      <c r="AI84">
        <f>AH84-T84</f>
        <v>29984.03999999998</v>
      </c>
      <c r="AJ84">
        <f>AI84*$B$15</f>
        <v>29084.51879999998</v>
      </c>
      <c r="AK84" t="str">
        <f>CONCATENATE(A84," / ",TEXT(AJ84,"0.00"))</f>
        <v>00066 / 29084.52</v>
      </c>
    </row>
    <row r="85">
      <c r="A85" t="inlineStr">
        <is>
          <t>00067</t>
        </is>
      </c>
      <c r="B85" t="str">
        <f>INDEX('Entity Map'!$B:$B,MATCH(A85,'Entity Map'!$A:$A,0))</f>
        <v>Client 067 Holdings</v>
      </c>
      <c r="C85">
        <f>INDEX('Entity Map'!$F:$F,MATCH(A85,'Entity Map'!$A:$A,0))</f>
        <v>45364</v>
      </c>
      <c r="D85">
        <f>MAX(DATE(2026,11,1),C85)</f>
        <v>46327</v>
      </c>
      <c r="E85" t="str">
        <f>TEXT(D85,"yyyy-mm")</f>
        <v>2026-11</v>
      </c>
      <c r="F85">
        <f>AVERAGEIFS(Positions!$F:$F,Positions!$A:$A,A85)</f>
        <v>35736003.644999996</v>
      </c>
      <c r="G85">
        <f>F84</f>
        <v>83871450.89500001</v>
      </c>
      <c r="H85">
        <f>IF(A85=A84,G85,F85)</f>
        <v>35736003.644999996</v>
      </c>
      <c r="I85">
        <f>VLOOKUP(F85,'Fee Schedule'!$D$5:$F$8,3,TRUE)</f>
        <v>22</v>
      </c>
      <c r="J85">
        <f>IFERROR(VLOOKUP(A85,'Fee Schedule'!$A$5:$B$21,2,FALSE),I85)</f>
        <v>22</v>
      </c>
      <c r="K85" t="str">
        <f>INDEX('Entity Map'!$C:$C,MATCH(A85,'Entity Map'!$A:$A,0))</f>
        <v>LuxCo</v>
      </c>
      <c r="L85" t="str">
        <f>INDEX('Entity Map'!$D:$D,MATCH(A85,'Entity Map'!$A:$A,0))</f>
        <v>CC-100</v>
      </c>
      <c r="M85">
        <f>ROUND(F85*J85/10000,2)</f>
        <v>78619.21</v>
      </c>
      <c r="N85">
        <f>DAY(EOMONTH(D85,0))</f>
        <v>30</v>
      </c>
      <c r="O85">
        <f>DATEDIF(D85,EOMONTH(D85,0),"d")+1</f>
        <v>30</v>
      </c>
      <c r="P85">
        <f>ROUND(M85*O85/N85,2)</f>
        <v>78619.21</v>
      </c>
      <c r="Q85">
        <f>MAX(P85,'Fee Schedule'!$I$3)</f>
        <v>78619.21</v>
      </c>
      <c r="R85">
        <f>MIN(Q85,'Fee Schedule'!$I$4)</f>
        <v>78619.21</v>
      </c>
      <c r="S85">
        <f>IFERROR(R85*'Fee Schedule'!$I$5,0)</f>
        <v>1965.4802500000003</v>
      </c>
      <c r="T85">
        <f>ROUND(R85-S85,2)</f>
        <v>76653.73</v>
      </c>
      <c r="U85">
        <f>IFERROR(VLOOKUP(A85,Overrides!$A:$C,3,FALSE),T85)</f>
        <v>76653.73</v>
      </c>
      <c r="V85" t="str">
        <f>IF(U85=T85,"","OVERRIDE")</f>
        <v/>
      </c>
      <c r="W85" t="str">
        <f>LEFT(A85,3)&amp;"-"&amp;E85</f>
        <v>000-2026-11</v>
      </c>
      <c r="X85">
        <f>COUNTIFS(Positions!$A:$A,A85)</f>
        <v>2</v>
      </c>
      <c r="Y85">
        <f>SUM($U$19:U85)</f>
        <v>5998734.05</v>
      </c>
      <c r="Z85" t="str">
        <f>UPPER(TRIM(INDEX('Entity Map'!$E:$E,MATCH(A85,'Entity Map'!$A:$A,0))))</f>
        <v>BALANCED</v>
      </c>
      <c r="AA85">
        <f>SUMIFS(Positions!$F:$F,Positions!$E:$E,Z85)</f>
        <v>2420753390.7000003</v>
      </c>
      <c r="AB85">
        <f>IFERROR(F85/AA85,0)</f>
        <v>0.014762347863392375</v>
      </c>
      <c r="AC85">
        <f>SUMPRODUCT(Positions!$F$18:$F$185,--(Positions!$A$18:$A$185=A85))</f>
        <v>71472007.28999999</v>
      </c>
      <c r="AD85" t="str">
        <f>IF(U85&gt;40000,"A",IF(U85&gt;8000,"B","C"))</f>
        <v>A</v>
      </c>
      <c r="AE85">
        <f>COUNTIF('Entity Map'!$A:$A,A85)</f>
        <v>1</v>
      </c>
      <c r="AF85">
        <f>MAX(Positions!$C:$C)</f>
        <v>46354</v>
      </c>
      <c r="AG85">
        <f>YEAR(D85)</f>
        <v>2026</v>
      </c>
      <c r="AH85">
        <f>ROUND(F85*$B$14/10000,2)</f>
        <v>92913.61</v>
      </c>
      <c r="AI85">
        <f>AH85-T85</f>
        <v>16259.880000000005</v>
      </c>
      <c r="AJ85">
        <f>AI85*$B$15</f>
        <v>15772.083600000004</v>
      </c>
      <c r="AK85" t="str">
        <f>CONCATENATE(A85," / ",TEXT(AJ85,"0.00"))</f>
        <v>00067 / 15772.08</v>
      </c>
    </row>
    <row r="86">
      <c r="A86" t="inlineStr">
        <is>
          <t>00068</t>
        </is>
      </c>
      <c r="B86" t="str">
        <f>INDEX('Entity Map'!$B:$B,MATCH(A86,'Entity Map'!$A:$A,0))</f>
        <v>Client 068 Holdings</v>
      </c>
      <c r="C86">
        <f>INDEX('Entity Map'!$F:$F,MATCH(A86,'Entity Map'!$A:$A,0))</f>
        <v>45365</v>
      </c>
      <c r="D86">
        <f>MAX(DATE(2026,11,1),C86)</f>
        <v>46327</v>
      </c>
      <c r="E86" t="str">
        <f>TEXT(D86,"yyyy-mm")</f>
        <v>2026-11</v>
      </c>
      <c r="F86">
        <f>AVERAGEIFS(Positions!$F:$F,Positions!$A:$A,A86)</f>
        <v>29159467.84</v>
      </c>
      <c r="G86">
        <f>F85</f>
        <v>35736003.644999996</v>
      </c>
      <c r="H86">
        <f>IF(A86=A85,G86,F86)</f>
        <v>29159467.84</v>
      </c>
      <c r="I86">
        <f>VLOOKUP(F86,'Fee Schedule'!$D$5:$F$8,3,TRUE)</f>
        <v>22</v>
      </c>
      <c r="J86">
        <f>IFERROR(VLOOKUP(A86,'Fee Schedule'!$A$5:$B$21,2,FALSE),I86)</f>
        <v>22</v>
      </c>
      <c r="K86" t="str">
        <f>INDEX('Entity Map'!$C:$C,MATCH(A86,'Entity Map'!$A:$A,0))</f>
        <v>UKCo</v>
      </c>
      <c r="L86" t="str">
        <f>INDEX('Entity Map'!$D:$D,MATCH(A86,'Entity Map'!$A:$A,0))</f>
        <v>CC-110</v>
      </c>
      <c r="M86">
        <f>ROUND(F86*J86/10000,2)</f>
        <v>64150.83</v>
      </c>
      <c r="N86">
        <f>DAY(EOMONTH(D86,0))</f>
        <v>30</v>
      </c>
      <c r="O86">
        <f>DATEDIF(D86,EOMONTH(D86,0),"d")+1</f>
        <v>30</v>
      </c>
      <c r="P86">
        <f>ROUND(M86*O86/N86,2)</f>
        <v>64150.83</v>
      </c>
      <c r="Q86">
        <f>MAX(P86,'Fee Schedule'!$I$3)</f>
        <v>64150.83</v>
      </c>
      <c r="R86">
        <f>MIN(Q86,'Fee Schedule'!$I$4)</f>
        <v>64150.83</v>
      </c>
      <c r="S86">
        <f>IFERROR(R86*'Fee Schedule'!$I$5,0)</f>
        <v>1603.7707500000001</v>
      </c>
      <c r="T86">
        <f>ROUND(R86-S86,2)</f>
        <v>62547.06</v>
      </c>
      <c r="U86">
        <f>IFERROR(VLOOKUP(A86,Overrides!$A:$C,3,FALSE),T86)</f>
        <v>62547.06</v>
      </c>
      <c r="V86" t="str">
        <f>IF(U86=T86,"","OVERRIDE")</f>
        <v/>
      </c>
      <c r="W86" t="str">
        <f>LEFT(A86,3)&amp;"-"&amp;E86</f>
        <v>000-2026-11</v>
      </c>
      <c r="X86">
        <f>COUNTIFS(Positions!$A:$A,A86)</f>
        <v>2</v>
      </c>
      <c r="Y86">
        <f>SUM($U$19:U86)</f>
        <v>6061281.11</v>
      </c>
      <c r="Z86" t="str">
        <f>UPPER(TRIM(INDEX('Entity Map'!$E:$E,MATCH(A86,'Entity Map'!$A:$A,0))))</f>
        <v>EQUITY</v>
      </c>
      <c r="AA86">
        <f>SUMIFS(Positions!$F:$F,Positions!$E:$E,Z86)</f>
        <v>2806311623.609999</v>
      </c>
      <c r="AB86">
        <f>IFERROR(F86/AA86,0)</f>
        <v>0.010390673507060372</v>
      </c>
      <c r="AC86">
        <f>SUMPRODUCT(Positions!$F$18:$F$185,--(Positions!$A$18:$A$185=A86))</f>
        <v>58318935.68</v>
      </c>
      <c r="AD86" t="str">
        <f>IF(U86&gt;40000,"A",IF(U86&gt;8000,"B","C"))</f>
        <v>A</v>
      </c>
      <c r="AE86">
        <f>COUNTIF('Entity Map'!$A:$A,A86)</f>
        <v>1</v>
      </c>
      <c r="AF86">
        <f>MAX(Positions!$C:$C)</f>
        <v>46354</v>
      </c>
      <c r="AG86">
        <f>YEAR(D86)</f>
        <v>2026</v>
      </c>
      <c r="AH86">
        <f>ROUND(F86*$B$14/10000,2)</f>
        <v>75814.62</v>
      </c>
      <c r="AI86">
        <f>AH86-T86</f>
        <v>13267.559999999998</v>
      </c>
      <c r="AJ86">
        <f>AI86*$B$15</f>
        <v>12869.533199999998</v>
      </c>
      <c r="AK86" t="str">
        <f>CONCATENATE(A86," / ",TEXT(AJ86,"0.00"))</f>
        <v>00068 / 12869.53</v>
      </c>
    </row>
    <row r="87">
      <c r="A87" t="inlineStr">
        <is>
          <t>00069</t>
        </is>
      </c>
      <c r="B87" t="str">
        <f>INDEX('Entity Map'!$B:$B,MATCH(A87,'Entity Map'!$A:$A,0))</f>
        <v>Client 069 Holdings</v>
      </c>
      <c r="C87">
        <f>INDEX('Entity Map'!$F:$F,MATCH(A87,'Entity Map'!$A:$A,0))</f>
        <v>45366</v>
      </c>
      <c r="D87">
        <f>MAX(DATE(2026,11,1),C87)</f>
        <v>46327</v>
      </c>
      <c r="E87" t="str">
        <f>TEXT(D87,"yyyy-mm")</f>
        <v>2026-11</v>
      </c>
      <c r="F87">
        <f>AVERAGEIFS(Positions!$F:$F,Positions!$A:$A,A87)</f>
        <v>59475708.019999996</v>
      </c>
      <c r="G87">
        <f>F86</f>
        <v>29159467.84</v>
      </c>
      <c r="H87">
        <f>IF(A87=A86,G87,F87)</f>
        <v>59475708.019999996</v>
      </c>
      <c r="I87">
        <f>VLOOKUP(F87,'Fee Schedule'!$D$5:$F$8,3,TRUE)</f>
        <v>18.5</v>
      </c>
      <c r="J87">
        <f>IFERROR(VLOOKUP(A87,'Fee Schedule'!$A$5:$B$21,2,FALSE),I87)</f>
        <v>18.5</v>
      </c>
      <c r="K87" t="str">
        <f>INDEX('Entity Map'!$C:$C,MATCH(A87,'Entity Map'!$A:$A,0))</f>
        <v>DubCo</v>
      </c>
      <c r="L87" t="str">
        <f>INDEX('Entity Map'!$D:$D,MATCH(A87,'Entity Map'!$A:$A,0))</f>
        <v>CC-120</v>
      </c>
      <c r="M87">
        <f>ROUND(F87*J87/10000,2)</f>
        <v>110030.06</v>
      </c>
      <c r="N87">
        <f>DAY(EOMONTH(D87,0))</f>
        <v>30</v>
      </c>
      <c r="O87">
        <f>DATEDIF(D87,EOMONTH(D87,0),"d")+1</f>
        <v>30</v>
      </c>
      <c r="P87">
        <f>ROUND(M87*O87/N87,2)</f>
        <v>110030.06</v>
      </c>
      <c r="Q87">
        <f>MAX(P87,'Fee Schedule'!$I$3)</f>
        <v>110030.06</v>
      </c>
      <c r="R87">
        <f>MIN(Q87,'Fee Schedule'!$I$4)</f>
        <v>110030.06</v>
      </c>
      <c r="S87">
        <f>IFERROR(R87*'Fee Schedule'!$I$5,0)</f>
        <v>2750.7515000000003</v>
      </c>
      <c r="T87">
        <f>ROUND(R87-S87,2)</f>
        <v>107279.31</v>
      </c>
      <c r="U87">
        <f>IFERROR(VLOOKUP(A87,Overrides!$A:$C,3,FALSE),T87)</f>
        <v>107279.31</v>
      </c>
      <c r="V87" t="str">
        <f>IF(U87=T87,"","OVERRIDE")</f>
        <v/>
      </c>
      <c r="W87" t="str">
        <f>LEFT(A87,3)&amp;"-"&amp;E87</f>
        <v>000-2026-11</v>
      </c>
      <c r="X87">
        <f>COUNTIFS(Positions!$A:$A,A87)</f>
        <v>2</v>
      </c>
      <c r="Y87">
        <f>SUM($U$19:U87)</f>
        <v>6168560.42</v>
      </c>
      <c r="Z87" t="str">
        <f>UPPER(TRIM(INDEX('Entity Map'!$E:$E,MATCH(A87,'Entity Map'!$A:$A,0))))</f>
        <v>FIXED INCOME</v>
      </c>
      <c r="AA87">
        <f>SUMIFS(Positions!$F:$F,Positions!$E:$E,Z87)</f>
        <v>2496645976.4</v>
      </c>
      <c r="AB87">
        <f>IFERROR(F87/AA87,0)</f>
        <v>0.02382224335456646</v>
      </c>
      <c r="AC87">
        <f>SUMPRODUCT(Positions!$F$18:$F$185,--(Positions!$A$18:$A$185=A87))</f>
        <v>118951416.03999999</v>
      </c>
      <c r="AD87" t="str">
        <f>IF(U87&gt;40000,"A",IF(U87&gt;8000,"B","C"))</f>
        <v>A</v>
      </c>
      <c r="AE87">
        <f>COUNTIF('Entity Map'!$A:$A,A87)</f>
        <v>1</v>
      </c>
      <c r="AF87">
        <f>MAX(Positions!$C:$C)</f>
        <v>46354</v>
      </c>
      <c r="AG87">
        <f>YEAR(D87)</f>
        <v>2026</v>
      </c>
      <c r="AH87">
        <f>ROUND(F87*$B$14/10000,2)</f>
        <v>154636.84</v>
      </c>
      <c r="AI87">
        <f>AH87-T87</f>
        <v>47357.53</v>
      </c>
      <c r="AJ87">
        <f>AI87*$B$15</f>
        <v>45936.8041</v>
      </c>
      <c r="AK87" t="str">
        <f>CONCATENATE(A87," / ",TEXT(AJ87,"0.00"))</f>
        <v>00069 / 45936.80</v>
      </c>
    </row>
    <row r="88">
      <c r="A88" t="inlineStr">
        <is>
          <t>00070</t>
        </is>
      </c>
      <c r="B88" t="str">
        <f>INDEX('Entity Map'!$B:$B,MATCH(A88,'Entity Map'!$A:$A,0))</f>
        <v>Client 070 Holdings</v>
      </c>
      <c r="C88">
        <f>INDEX('Entity Map'!$F:$F,MATCH(A88,'Entity Map'!$A:$A,0))</f>
        <v>45367</v>
      </c>
      <c r="D88">
        <f>MAX(DATE(2026,11,1),C88)</f>
        <v>46327</v>
      </c>
      <c r="E88" t="str">
        <f>TEXT(D88,"yyyy-mm")</f>
        <v>2026-11</v>
      </c>
      <c r="F88">
        <f>AVERAGEIFS(Positions!$F:$F,Positions!$A:$A,A88)</f>
        <v>62601936.94</v>
      </c>
      <c r="G88">
        <f>F87</f>
        <v>59475708.019999996</v>
      </c>
      <c r="H88">
        <f>IF(A88=A87,G88,F88)</f>
        <v>62601936.94</v>
      </c>
      <c r="I88">
        <f>VLOOKUP(F88,'Fee Schedule'!$D$5:$F$8,3,TRUE)</f>
        <v>18.5</v>
      </c>
      <c r="J88">
        <f>IFERROR(VLOOKUP(A88,'Fee Schedule'!$A$5:$B$21,2,FALSE),I88)</f>
        <v>18.5</v>
      </c>
      <c r="K88" t="str">
        <f>INDEX('Entity Map'!$C:$C,MATCH(A88,'Entity Map'!$A:$A,0))</f>
        <v>LuxCo</v>
      </c>
      <c r="L88" t="str">
        <f>INDEX('Entity Map'!$D:$D,MATCH(A88,'Entity Map'!$A:$A,0))</f>
        <v>CC-130</v>
      </c>
      <c r="M88">
        <f>ROUND(F88*J88/10000,2)</f>
        <v>115813.58</v>
      </c>
      <c r="N88">
        <f>DAY(EOMONTH(D88,0))</f>
        <v>30</v>
      </c>
      <c r="O88">
        <f>DATEDIF(D88,EOMONTH(D88,0),"d")+1</f>
        <v>30</v>
      </c>
      <c r="P88">
        <f>ROUND(M88*O88/N88,2)</f>
        <v>115813.58</v>
      </c>
      <c r="Q88">
        <f>MAX(P88,'Fee Schedule'!$I$3)</f>
        <v>115813.58</v>
      </c>
      <c r="R88">
        <f>MIN(Q88,'Fee Schedule'!$I$4)</f>
        <v>115813.58</v>
      </c>
      <c r="S88">
        <f>IFERROR(R88*'Fee Schedule'!$I$5,0)</f>
        <v>2895.3395</v>
      </c>
      <c r="T88">
        <f>ROUND(R88-S88,2)</f>
        <v>112918.24</v>
      </c>
      <c r="U88">
        <f>IFERROR(VLOOKUP(A88,Overrides!$A:$C,3,FALSE),T88)</f>
        <v>112918.24</v>
      </c>
      <c r="V88" t="str">
        <f>IF(U88=T88,"","OVERRIDE")</f>
        <v/>
      </c>
      <c r="W88" t="str">
        <f>LEFT(A88,3)&amp;"-"&amp;E88</f>
        <v>000-2026-11</v>
      </c>
      <c r="X88">
        <f>COUNTIFS(Positions!$A:$A,A88)</f>
        <v>2</v>
      </c>
      <c r="Y88">
        <f>SUM($U$19:U88)</f>
        <v>6281478.66</v>
      </c>
      <c r="Z88" t="str">
        <f>UPPER(TRIM(INDEX('Entity Map'!$E:$E,MATCH(A88,'Entity Map'!$A:$A,0))))</f>
        <v>BALANCED</v>
      </c>
      <c r="AA88">
        <f>SUMIFS(Positions!$F:$F,Positions!$E:$E,Z88)</f>
        <v>2420753390.7000003</v>
      </c>
      <c r="AB88">
        <f>IFERROR(F88/AA88,0)</f>
        <v>0.025860518126506735</v>
      </c>
      <c r="AC88">
        <f>SUMPRODUCT(Positions!$F$18:$F$185,--(Positions!$A$18:$A$185=A88))</f>
        <v>125203873.88</v>
      </c>
      <c r="AD88" t="str">
        <f>IF(U88&gt;40000,"A",IF(U88&gt;8000,"B","C"))</f>
        <v>A</v>
      </c>
      <c r="AE88">
        <f>COUNTIF('Entity Map'!$A:$A,A88)</f>
        <v>1</v>
      </c>
      <c r="AF88">
        <f>MAX(Positions!$C:$C)</f>
        <v>46354</v>
      </c>
      <c r="AG88">
        <f>YEAR(D88)</f>
        <v>2026</v>
      </c>
      <c r="AH88">
        <f>ROUND(F88*$B$14/10000,2)</f>
        <v>162765.04</v>
      </c>
      <c r="AI88">
        <f>AH88-T88</f>
        <v>49846.8</v>
      </c>
      <c r="AJ88">
        <f>AI88*$B$15</f>
        <v>48351.396</v>
      </c>
      <c r="AK88" t="str">
        <f>CONCATENATE(A88," / ",TEXT(AJ88,"0.00"))</f>
        <v>00070 / 48351.40</v>
      </c>
    </row>
    <row r="89">
      <c r="A89" t="inlineStr">
        <is>
          <t>00071</t>
        </is>
      </c>
      <c r="B89" t="str">
        <f>INDEX('Entity Map'!$B:$B,MATCH(A89,'Entity Map'!$A:$A,0))</f>
        <v>Client 071 Holdings</v>
      </c>
      <c r="C89">
        <f>INDEX('Entity Map'!$F:$F,MATCH(A89,'Entity Map'!$A:$A,0))</f>
        <v>45368</v>
      </c>
      <c r="D89">
        <f>MAX(DATE(2026,11,1),C89)</f>
        <v>46327</v>
      </c>
      <c r="E89" t="str">
        <f>TEXT(D89,"yyyy-mm")</f>
        <v>2026-11</v>
      </c>
      <c r="F89">
        <f>AVERAGEIFS(Positions!$F:$F,Positions!$A:$A,A89)</f>
        <v>63490704.75</v>
      </c>
      <c r="G89">
        <f>F88</f>
        <v>62601936.94</v>
      </c>
      <c r="H89">
        <f>IF(A89=A88,G89,F89)</f>
        <v>63490704.75</v>
      </c>
      <c r="I89">
        <f>VLOOKUP(F89,'Fee Schedule'!$D$5:$F$8,3,TRUE)</f>
        <v>18.5</v>
      </c>
      <c r="J89">
        <f>IFERROR(VLOOKUP(A89,'Fee Schedule'!$A$5:$B$21,2,FALSE),I89)</f>
        <v>30.5</v>
      </c>
      <c r="K89" t="str">
        <f>INDEX('Entity Map'!$C:$C,MATCH(A89,'Entity Map'!$A:$A,0))</f>
        <v>UKCo</v>
      </c>
      <c r="L89" t="str">
        <f>INDEX('Entity Map'!$D:$D,MATCH(A89,'Entity Map'!$A:$A,0))</f>
        <v>CC-140</v>
      </c>
      <c r="M89">
        <f>ROUND(F89*J89/10000,2)</f>
        <v>193646.65</v>
      </c>
      <c r="N89">
        <f>DAY(EOMONTH(D89,0))</f>
        <v>30</v>
      </c>
      <c r="O89">
        <f>DATEDIF(D89,EOMONTH(D89,0),"d")+1</f>
        <v>30</v>
      </c>
      <c r="P89">
        <f>ROUND(M89*O89/N89,2)</f>
        <v>193646.65</v>
      </c>
      <c r="Q89">
        <f>MAX(P89,'Fee Schedule'!$I$3)</f>
        <v>193646.65</v>
      </c>
      <c r="R89">
        <f>MIN(Q89,'Fee Schedule'!$I$4)</f>
        <v>193646.65</v>
      </c>
      <c r="S89">
        <f>IFERROR(R89*'Fee Schedule'!$I$5,0)</f>
        <v>4841.16625</v>
      </c>
      <c r="T89">
        <f>ROUND(R89-S89,2)</f>
        <v>188805.48</v>
      </c>
      <c r="U89">
        <f>IFERROR(VLOOKUP(A89,Overrides!$A:$C,3,FALSE),T89)</f>
        <v>188805.48</v>
      </c>
      <c r="V89" t="str">
        <f>IF(U89=T89,"","OVERRIDE")</f>
        <v/>
      </c>
      <c r="W89" t="str">
        <f>LEFT(A89,3)&amp;"-"&amp;E89</f>
        <v>000-2026-11</v>
      </c>
      <c r="X89">
        <f>COUNTIFS(Positions!$A:$A,A89)</f>
        <v>2</v>
      </c>
      <c r="Y89">
        <f>SUM($U$19:U89)</f>
        <v>6470284.14</v>
      </c>
      <c r="Z89" t="str">
        <f>UPPER(TRIM(INDEX('Entity Map'!$E:$E,MATCH(A89,'Entity Map'!$A:$A,0))))</f>
        <v>EQUITY</v>
      </c>
      <c r="AA89">
        <f>SUMIFS(Positions!$F:$F,Positions!$E:$E,Z89)</f>
        <v>2806311623.609999</v>
      </c>
      <c r="AB89">
        <f>IFERROR(F89/AA89,0)</f>
        <v>0.022624253206893135</v>
      </c>
      <c r="AC89">
        <f>SUMPRODUCT(Positions!$F$18:$F$185,--(Positions!$A$18:$A$185=A89))</f>
        <v>126981409.5</v>
      </c>
      <c r="AD89" t="str">
        <f>IF(U89&gt;40000,"A",IF(U89&gt;8000,"B","C"))</f>
        <v>A</v>
      </c>
      <c r="AE89">
        <f>COUNTIF('Entity Map'!$A:$A,A89)</f>
        <v>1</v>
      </c>
      <c r="AF89">
        <f>MAX(Positions!$C:$C)</f>
        <v>46354</v>
      </c>
      <c r="AG89">
        <f>YEAR(D89)</f>
        <v>2026</v>
      </c>
      <c r="AH89">
        <f>ROUND(F89*$B$14/10000,2)</f>
        <v>165075.83</v>
      </c>
      <c r="AI89">
        <f>AH89-T89</f>
        <v>-23729.650000000023</v>
      </c>
      <c r="AJ89">
        <f>AI89*$B$15</f>
        <v>-23017.760500000022</v>
      </c>
      <c r="AK89" t="str">
        <f>CONCATENATE(A89," / ",TEXT(AJ89,"0.00"))</f>
        <v>00071 / -23017.76</v>
      </c>
    </row>
    <row r="90">
      <c r="A90" t="inlineStr">
        <is>
          <t>00072</t>
        </is>
      </c>
      <c r="B90" t="str">
        <f>INDEX('Entity Map'!$B:$B,MATCH(A90,'Entity Map'!$A:$A,0))</f>
        <v>Client 072 Holdings</v>
      </c>
      <c r="C90">
        <f>INDEX('Entity Map'!$F:$F,MATCH(A90,'Entity Map'!$A:$A,0))</f>
        <v>45369</v>
      </c>
      <c r="D90">
        <f>MAX(DATE(2026,11,1),C90)</f>
        <v>46327</v>
      </c>
      <c r="E90" t="str">
        <f>TEXT(D90,"yyyy-mm")</f>
        <v>2026-11</v>
      </c>
      <c r="F90">
        <f>AVERAGEIFS(Positions!$F:$F,Positions!$A:$A,A90)</f>
        <v>98430</v>
      </c>
      <c r="G90">
        <f>F89</f>
        <v>63490704.75</v>
      </c>
      <c r="H90">
        <f>IF(A90=A89,G90,F90)</f>
        <v>98430</v>
      </c>
      <c r="I90">
        <f>VLOOKUP(F90,'Fee Schedule'!$D$5:$F$8,3,TRUE)</f>
        <v>35</v>
      </c>
      <c r="J90">
        <f>IFERROR(VLOOKUP(A90,'Fee Schedule'!$A$5:$B$21,2,FALSE),I90)</f>
        <v>35</v>
      </c>
      <c r="K90" t="str">
        <f>INDEX('Entity Map'!$C:$C,MATCH(A90,'Entity Map'!$A:$A,0))</f>
        <v>DubCo</v>
      </c>
      <c r="L90" t="str">
        <f>INDEX('Entity Map'!$D:$D,MATCH(A90,'Entity Map'!$A:$A,0))</f>
        <v>CC-150</v>
      </c>
      <c r="M90">
        <f>ROUND(F90*J90/10000,2)</f>
        <v>344.51</v>
      </c>
      <c r="N90">
        <f>DAY(EOMONTH(D90,0))</f>
        <v>30</v>
      </c>
      <c r="O90">
        <f>DATEDIF(D90,EOMONTH(D90,0),"d")+1</f>
        <v>30</v>
      </c>
      <c r="P90">
        <f>ROUND(M90*O90/N90,2)</f>
        <v>344.51</v>
      </c>
      <c r="Q90">
        <f>MAX(P90,'Fee Schedule'!$I$3)</f>
        <v>750</v>
      </c>
      <c r="R90">
        <f>MIN(Q90,'Fee Schedule'!$I$4)</f>
        <v>750</v>
      </c>
      <c r="S90">
        <f>IFERROR(R90*'Fee Schedule'!$I$5,0)</f>
        <v>18.75</v>
      </c>
      <c r="T90">
        <f>ROUND(R90-S90,2)</f>
        <v>731.25</v>
      </c>
      <c r="U90">
        <f>IFERROR(VLOOKUP(A90,Overrides!$A:$C,3,FALSE),T90)</f>
        <v>731.25</v>
      </c>
      <c r="V90" t="str">
        <f>IF(U90=T90,"","OVERRIDE")</f>
        <v/>
      </c>
      <c r="W90" t="str">
        <f>LEFT(A90,3)&amp;"-"&amp;E90</f>
        <v>000-2026-11</v>
      </c>
      <c r="X90">
        <f>COUNTIFS(Positions!$A:$A,A90)</f>
        <v>2</v>
      </c>
      <c r="Y90">
        <f>SUM($U$19:U90)</f>
        <v>6471015.39</v>
      </c>
      <c r="Z90" t="str">
        <f>UPPER(TRIM(INDEX('Entity Map'!$E:$E,MATCH(A90,'Entity Map'!$A:$A,0))))</f>
        <v>FIXED INCOME</v>
      </c>
      <c r="AA90">
        <f>SUMIFS(Positions!$F:$F,Positions!$E:$E,Z90)</f>
        <v>2496645976.4</v>
      </c>
      <c r="AB90">
        <f>IFERROR(F90/AA90,0)</f>
        <v>3.942489280836269e-05</v>
      </c>
      <c r="AC90">
        <f>SUMPRODUCT(Positions!$F$18:$F$185,--(Positions!$A$18:$A$185=A90))</f>
        <v>196860</v>
      </c>
      <c r="AD90" t="str">
        <f>IF(U90&gt;40000,"A",IF(U90&gt;8000,"B","C"))</f>
        <v>C</v>
      </c>
      <c r="AE90">
        <f>COUNTIF('Entity Map'!$A:$A,A90)</f>
        <v>1</v>
      </c>
      <c r="AF90">
        <f>MAX(Positions!$C:$C)</f>
        <v>46354</v>
      </c>
      <c r="AG90">
        <f>YEAR(D90)</f>
        <v>2026</v>
      </c>
      <c r="AH90">
        <f>ROUND(F90*$B$14/10000,2)</f>
        <v>255.92</v>
      </c>
      <c r="AI90">
        <f>AH90-T90</f>
        <v>-475.33000000000004</v>
      </c>
      <c r="AJ90">
        <f>AI90*$B$15</f>
        <v>-461.0701</v>
      </c>
      <c r="AK90" t="str">
        <f>CONCATENATE(A90," / ",TEXT(AJ90,"0.00"))</f>
        <v>00072 / -461.07</v>
      </c>
    </row>
    <row r="91">
      <c r="A91" t="inlineStr">
        <is>
          <t>00073</t>
        </is>
      </c>
      <c r="B91" t="str">
        <f>INDEX('Entity Map'!$B:$B,MATCH(A91,'Entity Map'!$A:$A,0))</f>
        <v>Client 073 Holdings</v>
      </c>
      <c r="C91">
        <f>INDEX('Entity Map'!$F:$F,MATCH(A91,'Entity Map'!$A:$A,0))</f>
        <v>45370</v>
      </c>
      <c r="D91">
        <f>MAX(DATE(2026,11,1),C91)</f>
        <v>46327</v>
      </c>
      <c r="E91" t="str">
        <f>TEXT(D91,"yyyy-mm")</f>
        <v>2026-11</v>
      </c>
      <c r="F91">
        <f>AVERAGEIFS(Positions!$F:$F,Positions!$A:$A,A91)</f>
        <v>31317011.990000002</v>
      </c>
      <c r="G91">
        <f>F90</f>
        <v>98430</v>
      </c>
      <c r="H91">
        <f>IF(A91=A90,G91,F91)</f>
        <v>31317011.990000002</v>
      </c>
      <c r="I91">
        <f>VLOOKUP(F91,'Fee Schedule'!$D$5:$F$8,3,TRUE)</f>
        <v>22</v>
      </c>
      <c r="J91">
        <f>IFERROR(VLOOKUP(A91,'Fee Schedule'!$A$5:$B$21,2,FALSE),I91)</f>
        <v>22</v>
      </c>
      <c r="K91" t="str">
        <f>INDEX('Entity Map'!$C:$C,MATCH(A91,'Entity Map'!$A:$A,0))</f>
        <v>LuxCo</v>
      </c>
      <c r="L91" t="str">
        <f>INDEX('Entity Map'!$D:$D,MATCH(A91,'Entity Map'!$A:$A,0))</f>
        <v>CC-100</v>
      </c>
      <c r="M91">
        <f>ROUND(F91*J91/10000,2)</f>
        <v>68897.43</v>
      </c>
      <c r="N91">
        <f>DAY(EOMONTH(D91,0))</f>
        <v>30</v>
      </c>
      <c r="O91">
        <f>DATEDIF(D91,EOMONTH(D91,0),"d")+1</f>
        <v>30</v>
      </c>
      <c r="P91">
        <f>ROUND(M91*O91/N91,2)</f>
        <v>68897.43</v>
      </c>
      <c r="Q91">
        <f>MAX(P91,'Fee Schedule'!$I$3)</f>
        <v>68897.43</v>
      </c>
      <c r="R91">
        <f>MIN(Q91,'Fee Schedule'!$I$4)</f>
        <v>68897.43</v>
      </c>
      <c r="S91">
        <f>IFERROR(R91*'Fee Schedule'!$I$5,0)</f>
        <v>1722.4357499999999</v>
      </c>
      <c r="T91">
        <f>ROUND(R91-S91,2)</f>
        <v>67174.99</v>
      </c>
      <c r="U91">
        <f>IFERROR(VLOOKUP(A91,Overrides!$A:$C,3,FALSE),T91)</f>
        <v>67174.99</v>
      </c>
      <c r="V91" t="str">
        <f>IF(U91=T91,"","OVERRIDE")</f>
        <v/>
      </c>
      <c r="W91" t="str">
        <f>LEFT(A91,3)&amp;"-"&amp;E91</f>
        <v>000-2026-11</v>
      </c>
      <c r="X91">
        <f>COUNTIFS(Positions!$A:$A,A91)</f>
        <v>2</v>
      </c>
      <c r="Y91">
        <f>SUM($U$19:U91)</f>
        <v>6538190.38</v>
      </c>
      <c r="Z91" t="str">
        <f>UPPER(TRIM(INDEX('Entity Map'!$E:$E,MATCH(A91,'Entity Map'!$A:$A,0))))</f>
        <v>BALANCED</v>
      </c>
      <c r="AA91">
        <f>SUMIFS(Positions!$F:$F,Positions!$E:$E,Z91)</f>
        <v>2420753390.7000003</v>
      </c>
      <c r="AB91">
        <f>IFERROR(F91/AA91,0)</f>
        <v>0.01293688655371218</v>
      </c>
      <c r="AC91">
        <f>SUMPRODUCT(Positions!$F$18:$F$185,--(Positions!$A$18:$A$185=A91))</f>
        <v>62634023.980000004</v>
      </c>
      <c r="AD91" t="str">
        <f>IF(U91&gt;40000,"A",IF(U91&gt;8000,"B","C"))</f>
        <v>A</v>
      </c>
      <c r="AE91">
        <f>COUNTIF('Entity Map'!$A:$A,A91)</f>
        <v>1</v>
      </c>
      <c r="AF91">
        <f>MAX(Positions!$C:$C)</f>
        <v>46354</v>
      </c>
      <c r="AG91">
        <f>YEAR(D91)</f>
        <v>2026</v>
      </c>
      <c r="AH91">
        <f>ROUND(F91*$B$14/10000,2)</f>
        <v>81424.23</v>
      </c>
      <c r="AI91">
        <f>AH91-T91</f>
        <v>14249.23999999999</v>
      </c>
      <c r="AJ91">
        <f>AI91*$B$15</f>
        <v>13821.762799999991</v>
      </c>
      <c r="AK91" t="str">
        <f>CONCATENATE(A91," / ",TEXT(AJ91,"0.00"))</f>
        <v>00073 / 13821.76</v>
      </c>
    </row>
    <row r="92">
      <c r="A92" t="inlineStr">
        <is>
          <t>00074</t>
        </is>
      </c>
      <c r="B92" t="str">
        <f>INDEX('Entity Map'!$B:$B,MATCH(A92,'Entity Map'!$A:$A,0))</f>
        <v>Client 074 Holdings</v>
      </c>
      <c r="C92">
        <f>INDEX('Entity Map'!$F:$F,MATCH(A92,'Entity Map'!$A:$A,0))</f>
        <v>45371</v>
      </c>
      <c r="D92">
        <f>MAX(DATE(2026,11,1),C92)</f>
        <v>46327</v>
      </c>
      <c r="E92" t="str">
        <f>TEXT(D92,"yyyy-mm")</f>
        <v>2026-11</v>
      </c>
      <c r="F92">
        <f>AVERAGEIFS(Positions!$F:$F,Positions!$A:$A,A92)</f>
        <v>50813158.775</v>
      </c>
      <c r="G92">
        <f>F91</f>
        <v>31317011.990000002</v>
      </c>
      <c r="H92">
        <f>IF(A92=A91,G92,F92)</f>
        <v>50813158.775</v>
      </c>
      <c r="I92">
        <f>VLOOKUP(F92,'Fee Schedule'!$D$5:$F$8,3,TRUE)</f>
        <v>18.5</v>
      </c>
      <c r="J92">
        <f>IFERROR(VLOOKUP(A92,'Fee Schedule'!$A$5:$B$21,2,FALSE),I92)</f>
        <v>18.5</v>
      </c>
      <c r="K92" t="str">
        <f>INDEX('Entity Map'!$C:$C,MATCH(A92,'Entity Map'!$A:$A,0))</f>
        <v>UKCo</v>
      </c>
      <c r="L92" t="str">
        <f>INDEX('Entity Map'!$D:$D,MATCH(A92,'Entity Map'!$A:$A,0))</f>
        <v>CC-110</v>
      </c>
      <c r="M92">
        <f>ROUND(F92*J92/10000,2)</f>
        <v>94004.34</v>
      </c>
      <c r="N92">
        <f>DAY(EOMONTH(D92,0))</f>
        <v>30</v>
      </c>
      <c r="O92">
        <f>DATEDIF(D92,EOMONTH(D92,0),"d")+1</f>
        <v>30</v>
      </c>
      <c r="P92">
        <f>ROUND(M92*O92/N92,2)</f>
        <v>94004.34</v>
      </c>
      <c r="Q92">
        <f>MAX(P92,'Fee Schedule'!$I$3)</f>
        <v>94004.34</v>
      </c>
      <c r="R92">
        <f>MIN(Q92,'Fee Schedule'!$I$4)</f>
        <v>94004.34</v>
      </c>
      <c r="S92">
        <f>IFERROR(R92*'Fee Schedule'!$I$5,0)</f>
        <v>2350.1085</v>
      </c>
      <c r="T92">
        <f>ROUND(R92-S92,2)</f>
        <v>91654.23</v>
      </c>
      <c r="U92">
        <f>IFERROR(VLOOKUP(A92,Overrides!$A:$C,3,FALSE),T92)</f>
        <v>91654.23</v>
      </c>
      <c r="V92" t="str">
        <f>IF(U92=T92,"","OVERRIDE")</f>
        <v/>
      </c>
      <c r="W92" t="str">
        <f>LEFT(A92,3)&amp;"-"&amp;E92</f>
        <v>000-2026-11</v>
      </c>
      <c r="X92">
        <f>COUNTIFS(Positions!$A:$A,A92)</f>
        <v>2</v>
      </c>
      <c r="Y92">
        <f>SUM($U$19:U92)</f>
        <v>6629844.61</v>
      </c>
      <c r="Z92" t="str">
        <f>UPPER(TRIM(INDEX('Entity Map'!$E:$E,MATCH(A92,'Entity Map'!$A:$A,0))))</f>
        <v>EQUITY</v>
      </c>
      <c r="AA92">
        <f>SUMIFS(Positions!$F:$F,Positions!$E:$E,Z92)</f>
        <v>2806311623.609999</v>
      </c>
      <c r="AB92">
        <f>IFERROR(F92/AA92,0)</f>
        <v>0.018106741370951054</v>
      </c>
      <c r="AC92">
        <f>SUMPRODUCT(Positions!$F$18:$F$185,--(Positions!$A$18:$A$185=A92))</f>
        <v>101626317.55</v>
      </c>
      <c r="AD92" t="str">
        <f>IF(U92&gt;40000,"A",IF(U92&gt;8000,"B","C"))</f>
        <v>A</v>
      </c>
      <c r="AE92">
        <f>COUNTIF('Entity Map'!$A:$A,A92)</f>
        <v>1</v>
      </c>
      <c r="AF92">
        <f>MAX(Positions!$C:$C)</f>
        <v>46354</v>
      </c>
      <c r="AG92">
        <f>YEAR(D92)</f>
        <v>2026</v>
      </c>
      <c r="AH92">
        <f>ROUND(F92*$B$14/10000,2)</f>
        <v>132114.21</v>
      </c>
      <c r="AI92">
        <f>AH92-T92</f>
        <v>40459.979999999996</v>
      </c>
      <c r="AJ92">
        <f>AI92*$B$15</f>
        <v>39246.18059999999</v>
      </c>
      <c r="AK92" t="str">
        <f>CONCATENATE(A92," / ",TEXT(AJ92,"0.00"))</f>
        <v>00074 / 39246.18</v>
      </c>
    </row>
    <row r="93">
      <c r="A93" t="inlineStr">
        <is>
          <t>00075</t>
        </is>
      </c>
      <c r="B93" t="str">
        <f>INDEX('Entity Map'!$B:$B,MATCH(A93,'Entity Map'!$A:$A,0))</f>
        <v>Client 075 Holdings</v>
      </c>
      <c r="C93">
        <f>INDEX('Entity Map'!$F:$F,MATCH(A93,'Entity Map'!$A:$A,0))</f>
        <v>45372</v>
      </c>
      <c r="D93">
        <f>MAX(DATE(2026,11,1),C93)</f>
        <v>46327</v>
      </c>
      <c r="E93" t="str">
        <f>TEXT(D93,"yyyy-mm")</f>
        <v>2026-11</v>
      </c>
      <c r="F93">
        <f>AVERAGEIFS(Positions!$F:$F,Positions!$A:$A,A93)</f>
        <v>67956295.59</v>
      </c>
      <c r="G93">
        <f>F92</f>
        <v>50813158.775</v>
      </c>
      <c r="H93">
        <f>IF(A93=A92,G93,F93)</f>
        <v>67956295.59</v>
      </c>
      <c r="I93">
        <f>VLOOKUP(F93,'Fee Schedule'!$D$5:$F$8,3,TRUE)</f>
        <v>18.5</v>
      </c>
      <c r="J93">
        <f>IFERROR(VLOOKUP(A93,'Fee Schedule'!$A$5:$B$21,2,FALSE),I93)</f>
        <v>18.5</v>
      </c>
      <c r="K93" t="str">
        <f>INDEX('Entity Map'!$C:$C,MATCH(A93,'Entity Map'!$A:$A,0))</f>
        <v>DubCo</v>
      </c>
      <c r="L93" t="str">
        <f>INDEX('Entity Map'!$D:$D,MATCH(A93,'Entity Map'!$A:$A,0))</f>
        <v>CC-120</v>
      </c>
      <c r="M93">
        <f>ROUND(F93*J93/10000,2)</f>
        <v>125719.15</v>
      </c>
      <c r="N93">
        <f>DAY(EOMONTH(D93,0))</f>
        <v>30</v>
      </c>
      <c r="O93">
        <f>DATEDIF(D93,EOMONTH(D93,0),"d")+1</f>
        <v>30</v>
      </c>
      <c r="P93">
        <f>ROUND(M93*O93/N93,2)</f>
        <v>125719.15</v>
      </c>
      <c r="Q93">
        <f>MAX(P93,'Fee Schedule'!$I$3)</f>
        <v>125719.15</v>
      </c>
      <c r="R93">
        <f>MIN(Q93,'Fee Schedule'!$I$4)</f>
        <v>125719.15</v>
      </c>
      <c r="S93">
        <f>IFERROR(R93*'Fee Schedule'!$I$5,0)</f>
        <v>3142.97875</v>
      </c>
      <c r="T93">
        <f>ROUND(R93-S93,2)</f>
        <v>122576.17</v>
      </c>
      <c r="U93">
        <f>IFERROR(VLOOKUP(A93,Overrides!$A:$C,3,FALSE),T93)</f>
        <v>122576.17</v>
      </c>
      <c r="V93" t="str">
        <f>IF(U93=T93,"","OVERRIDE")</f>
        <v/>
      </c>
      <c r="W93" t="str">
        <f>LEFT(A93,3)&amp;"-"&amp;E93</f>
        <v>000-2026-11</v>
      </c>
      <c r="X93">
        <f>COUNTIFS(Positions!$A:$A,A93)</f>
        <v>2</v>
      </c>
      <c r="Y93">
        <f>SUM($U$19:U93)</f>
        <v>6752420.78</v>
      </c>
      <c r="Z93" t="str">
        <f>UPPER(TRIM(INDEX('Entity Map'!$E:$E,MATCH(A93,'Entity Map'!$A:$A,0))))</f>
        <v>FIXED INCOME</v>
      </c>
      <c r="AA93">
        <f>SUMIFS(Positions!$F:$F,Positions!$E:$E,Z93)</f>
        <v>2496645976.4</v>
      </c>
      <c r="AB93">
        <f>IFERROR(F93/AA93,0)</f>
        <v>0.027219035551042974</v>
      </c>
      <c r="AC93">
        <f>SUMPRODUCT(Positions!$F$18:$F$185,--(Positions!$A$18:$A$185=A93))</f>
        <v>135912591.18</v>
      </c>
      <c r="AD93" t="str">
        <f>IF(U93&gt;40000,"A",IF(U93&gt;8000,"B","C"))</f>
        <v>A</v>
      </c>
      <c r="AE93">
        <f>COUNTIF('Entity Map'!$A:$A,A93)</f>
        <v>1</v>
      </c>
      <c r="AF93">
        <f>MAX(Positions!$C:$C)</f>
        <v>46354</v>
      </c>
      <c r="AG93">
        <f>YEAR(D93)</f>
        <v>2026</v>
      </c>
      <c r="AH93">
        <f>ROUND(F93*$B$14/10000,2)</f>
        <v>176686.37</v>
      </c>
      <c r="AI93">
        <f>AH93-T93</f>
        <v>54110.2</v>
      </c>
      <c r="AJ93">
        <f>AI93*$B$15</f>
        <v>52486.89399999999</v>
      </c>
      <c r="AK93" t="str">
        <f>CONCATENATE(A93," / ",TEXT(AJ93,"0.00"))</f>
        <v>00075 / 52486.89</v>
      </c>
    </row>
    <row r="94">
      <c r="A94" t="inlineStr">
        <is>
          <t>00076</t>
        </is>
      </c>
      <c r="B94" t="str">
        <f>INDEX('Entity Map'!$B:$B,MATCH(A94,'Entity Map'!$A:$A,0))</f>
        <v>Client 076 Holdings</v>
      </c>
      <c r="C94">
        <f>INDEX('Entity Map'!$F:$F,MATCH(A94,'Entity Map'!$A:$A,0))</f>
        <v>45373</v>
      </c>
      <c r="D94">
        <f>MAX(DATE(2026,11,1),C94)</f>
        <v>46327</v>
      </c>
      <c r="E94" t="str">
        <f>TEXT(D94,"yyyy-mm")</f>
        <v>2026-11</v>
      </c>
      <c r="F94">
        <f>AVERAGEIFS(Positions!$F:$F,Positions!$A:$A,A94)</f>
        <v>86657089.605</v>
      </c>
      <c r="G94">
        <f>F93</f>
        <v>67956295.59</v>
      </c>
      <c r="H94">
        <f>IF(A94=A93,G94,F94)</f>
        <v>86657089.605</v>
      </c>
      <c r="I94">
        <f>VLOOKUP(F94,'Fee Schedule'!$D$5:$F$8,3,TRUE)</f>
        <v>18.5</v>
      </c>
      <c r="J94">
        <f>IFERROR(VLOOKUP(A94,'Fee Schedule'!$A$5:$B$21,2,FALSE),I94)</f>
        <v>24.5</v>
      </c>
      <c r="K94" t="str">
        <f>INDEX('Entity Map'!$C:$C,MATCH(A94,'Entity Map'!$A:$A,0))</f>
        <v>LuxCo</v>
      </c>
      <c r="L94" t="str">
        <f>INDEX('Entity Map'!$D:$D,MATCH(A94,'Entity Map'!$A:$A,0))</f>
        <v>CC-130</v>
      </c>
      <c r="M94">
        <f>ROUND(F94*J94/10000,2)</f>
        <v>212309.87</v>
      </c>
      <c r="N94">
        <f>DAY(EOMONTH(D94,0))</f>
        <v>30</v>
      </c>
      <c r="O94">
        <f>DATEDIF(D94,EOMONTH(D94,0),"d")+1</f>
        <v>30</v>
      </c>
      <c r="P94">
        <f>ROUND(M94*O94/N94,2)</f>
        <v>212309.87</v>
      </c>
      <c r="Q94">
        <f>MAX(P94,'Fee Schedule'!$I$3)</f>
        <v>212309.87</v>
      </c>
      <c r="R94">
        <f>MIN(Q94,'Fee Schedule'!$I$4)</f>
        <v>212309.87</v>
      </c>
      <c r="S94">
        <f>IFERROR(R94*'Fee Schedule'!$I$5,0)</f>
        <v>5307.74675</v>
      </c>
      <c r="T94">
        <f>ROUND(R94-S94,2)</f>
        <v>207002.12</v>
      </c>
      <c r="U94">
        <f>IFERROR(VLOOKUP(A94,Overrides!$A:$C,3,FALSE),T94)</f>
        <v>207002.12</v>
      </c>
      <c r="V94" t="str">
        <f>IF(U94=T94,"","OVERRIDE")</f>
        <v/>
      </c>
      <c r="W94" t="str">
        <f>LEFT(A94,3)&amp;"-"&amp;E94</f>
        <v>000-2026-11</v>
      </c>
      <c r="X94">
        <f>COUNTIFS(Positions!$A:$A,A94)</f>
        <v>2</v>
      </c>
      <c r="Y94">
        <f>SUM($U$19:U94)</f>
        <v>6959422.9</v>
      </c>
      <c r="Z94" t="str">
        <f>UPPER(TRIM(INDEX('Entity Map'!$E:$E,MATCH(A94,'Entity Map'!$A:$A,0))))</f>
        <v>BALANCED</v>
      </c>
      <c r="AA94">
        <f>SUMIFS(Positions!$F:$F,Positions!$E:$E,Z94)</f>
        <v>2420753390.7000003</v>
      </c>
      <c r="AB94">
        <f>IFERROR(F94/AA94,0)</f>
        <v>0.035797570267965914</v>
      </c>
      <c r="AC94">
        <f>SUMPRODUCT(Positions!$F$18:$F$185,--(Positions!$A$18:$A$185=A94))</f>
        <v>173314179.21</v>
      </c>
      <c r="AD94" t="str">
        <f>IF(U94&gt;40000,"A",IF(U94&gt;8000,"B","C"))</f>
        <v>A</v>
      </c>
      <c r="AE94">
        <f>COUNTIF('Entity Map'!$A:$A,A94)</f>
        <v>1</v>
      </c>
      <c r="AF94">
        <f>MAX(Positions!$C:$C)</f>
        <v>46354</v>
      </c>
      <c r="AG94">
        <f>YEAR(D94)</f>
        <v>2026</v>
      </c>
      <c r="AH94">
        <f>ROUND(F94*$B$14/10000,2)</f>
        <v>225308.43</v>
      </c>
      <c r="AI94">
        <f>AH94-T94</f>
        <v>18306.309999999998</v>
      </c>
      <c r="AJ94">
        <f>AI94*$B$15</f>
        <v>17757.120699999996</v>
      </c>
      <c r="AK94" t="str">
        <f>CONCATENATE(A94," / ",TEXT(AJ94,"0.00"))</f>
        <v>00076 / 17757.12</v>
      </c>
    </row>
    <row r="95">
      <c r="A95" t="inlineStr">
        <is>
          <t>00077</t>
        </is>
      </c>
      <c r="B95" t="str">
        <f>INDEX('Entity Map'!$B:$B,MATCH(A95,'Entity Map'!$A:$A,0))</f>
        <v>Client 077 Holdings</v>
      </c>
      <c r="C95">
        <f>INDEX('Entity Map'!$F:$F,MATCH(A95,'Entity Map'!$A:$A,0))</f>
        <v>45374</v>
      </c>
      <c r="D95">
        <f>MAX(DATE(2026,11,1),C95)</f>
        <v>46327</v>
      </c>
      <c r="E95" t="str">
        <f>TEXT(D95,"yyyy-mm")</f>
        <v>2026-11</v>
      </c>
      <c r="F95">
        <f>AVERAGEIFS(Positions!$F:$F,Positions!$A:$A,A95)</f>
        <v>3720450.68</v>
      </c>
      <c r="G95">
        <f>F94</f>
        <v>86657089.605</v>
      </c>
      <c r="H95">
        <f>IF(A95=A94,G95,F95)</f>
        <v>3720450.68</v>
      </c>
      <c r="I95">
        <f>VLOOKUP(F95,'Fee Schedule'!$D$5:$F$8,3,TRUE)</f>
        <v>35</v>
      </c>
      <c r="J95">
        <f>IFERROR(VLOOKUP(A95,'Fee Schedule'!$A$5:$B$21,2,FALSE),I95)</f>
        <v>35</v>
      </c>
      <c r="K95" t="str">
        <f>INDEX('Entity Map'!$C:$C,MATCH(A95,'Entity Map'!$A:$A,0))</f>
        <v>UKCo</v>
      </c>
      <c r="L95" t="str">
        <f>INDEX('Entity Map'!$D:$D,MATCH(A95,'Entity Map'!$A:$A,0))</f>
        <v>CC-140</v>
      </c>
      <c r="M95">
        <f>ROUND(F95*J95/10000,2)</f>
        <v>13021.58</v>
      </c>
      <c r="N95">
        <f>DAY(EOMONTH(D95,0))</f>
        <v>30</v>
      </c>
      <c r="O95">
        <f>DATEDIF(D95,EOMONTH(D95,0),"d")+1</f>
        <v>30</v>
      </c>
      <c r="P95">
        <f>ROUND(M95*O95/N95,2)</f>
        <v>13021.58</v>
      </c>
      <c r="Q95">
        <f>MAX(P95,'Fee Schedule'!$I$3)</f>
        <v>13021.58</v>
      </c>
      <c r="R95">
        <f>MIN(Q95,'Fee Schedule'!$I$4)</f>
        <v>13021.58</v>
      </c>
      <c r="S95">
        <f>IFERROR(R95*'Fee Schedule'!$I$5,0)</f>
        <v>325.53950000000003</v>
      </c>
      <c r="T95">
        <f>ROUND(R95-S95,2)</f>
        <v>12696.04</v>
      </c>
      <c r="U95">
        <f>IFERROR(VLOOKUP(A95,Overrides!$A:$C,3,FALSE),T95)</f>
        <v>12696.04</v>
      </c>
      <c r="V95" t="str">
        <f>IF(U95=T95,"","OVERRIDE")</f>
        <v/>
      </c>
      <c r="W95" t="str">
        <f>LEFT(A95,3)&amp;"-"&amp;E95</f>
        <v>000-2026-11</v>
      </c>
      <c r="X95">
        <f>COUNTIFS(Positions!$A:$A,A95)</f>
        <v>2</v>
      </c>
      <c r="Y95">
        <f>SUM($U$19:U95)</f>
        <v>6972118.94</v>
      </c>
      <c r="Z95" t="str">
        <f>UPPER(TRIM(INDEX('Entity Map'!$E:$E,MATCH(A95,'Entity Map'!$A:$A,0))))</f>
        <v>EQUITY</v>
      </c>
      <c r="AA95">
        <f>SUMIFS(Positions!$F:$F,Positions!$E:$E,Z95)</f>
        <v>2806311623.609999</v>
      </c>
      <c r="AB95">
        <f>IFERROR(F95/AA95,0)</f>
        <v>0.0013257439582615082</v>
      </c>
      <c r="AC95">
        <f>SUMPRODUCT(Positions!$F$18:$F$185,--(Positions!$A$18:$A$185=A95))</f>
        <v>7440901.36</v>
      </c>
      <c r="AD95" t="str">
        <f>IF(U95&gt;40000,"A",IF(U95&gt;8000,"B","C"))</f>
        <v>B</v>
      </c>
      <c r="AE95">
        <f>COUNTIF('Entity Map'!$A:$A,A95)</f>
        <v>1</v>
      </c>
      <c r="AF95">
        <f>MAX(Positions!$C:$C)</f>
        <v>46354</v>
      </c>
      <c r="AG95">
        <f>YEAR(D95)</f>
        <v>2026</v>
      </c>
      <c r="AH95">
        <f>ROUND(F95*$B$14/10000,2)</f>
        <v>9673.17</v>
      </c>
      <c r="AI95">
        <f>AH95-T95</f>
        <v>-3022.870000000001</v>
      </c>
      <c r="AJ95">
        <f>AI95*$B$15</f>
        <v>-2932.183900000001</v>
      </c>
      <c r="AK95" t="str">
        <f>CONCATENATE(A95," / ",TEXT(AJ95,"0.00"))</f>
        <v>00077 / -2932.18</v>
      </c>
    </row>
    <row r="96">
      <c r="A96" t="inlineStr">
        <is>
          <t>00078</t>
        </is>
      </c>
      <c r="B96" t="str">
        <f>INDEX('Entity Map'!$B:$B,MATCH(A96,'Entity Map'!$A:$A,0))</f>
        <v>Client 078 Holdings</v>
      </c>
      <c r="C96">
        <f>INDEX('Entity Map'!$F:$F,MATCH(A96,'Entity Map'!$A:$A,0))</f>
        <v>45375</v>
      </c>
      <c r="D96">
        <f>MAX(DATE(2026,11,1),C96)</f>
        <v>46327</v>
      </c>
      <c r="E96" t="str">
        <f>TEXT(D96,"yyyy-mm")</f>
        <v>2026-11</v>
      </c>
      <c r="F96">
        <f>AVERAGEIFS(Positions!$F:$F,Positions!$A:$A,A96)</f>
        <v>55651596.655</v>
      </c>
      <c r="G96">
        <f>F95</f>
        <v>3720450.68</v>
      </c>
      <c r="H96">
        <f>IF(A96=A95,G96,F96)</f>
        <v>55651596.655</v>
      </c>
      <c r="I96">
        <f>VLOOKUP(F96,'Fee Schedule'!$D$5:$F$8,3,TRUE)</f>
        <v>18.5</v>
      </c>
      <c r="J96">
        <f>IFERROR(VLOOKUP(A96,'Fee Schedule'!$A$5:$B$21,2,FALSE),I96)</f>
        <v>18.5</v>
      </c>
      <c r="K96" t="str">
        <f>INDEX('Entity Map'!$C:$C,MATCH(A96,'Entity Map'!$A:$A,0))</f>
        <v>DubCo</v>
      </c>
      <c r="L96" t="str">
        <f>INDEX('Entity Map'!$D:$D,MATCH(A96,'Entity Map'!$A:$A,0))</f>
        <v>CC-150</v>
      </c>
      <c r="M96">
        <f>ROUND(F96*J96/10000,2)</f>
        <v>102955.45</v>
      </c>
      <c r="N96">
        <f>DAY(EOMONTH(D96,0))</f>
        <v>30</v>
      </c>
      <c r="O96">
        <f>DATEDIF(D96,EOMONTH(D96,0),"d")+1</f>
        <v>30</v>
      </c>
      <c r="P96">
        <f>ROUND(M96*O96/N96,2)</f>
        <v>102955.45</v>
      </c>
      <c r="Q96">
        <f>MAX(P96,'Fee Schedule'!$I$3)</f>
        <v>102955.45</v>
      </c>
      <c r="R96">
        <f>MIN(Q96,'Fee Schedule'!$I$4)</f>
        <v>102955.45</v>
      </c>
      <c r="S96">
        <f>IFERROR(R96*'Fee Schedule'!$I$5,0)</f>
        <v>2573.88625</v>
      </c>
      <c r="T96">
        <f>ROUND(R96-S96,2)</f>
        <v>100381.56</v>
      </c>
      <c r="U96">
        <f>IFERROR(VLOOKUP(A96,Overrides!$A:$C,3,FALSE),T96)</f>
        <v>100381.56</v>
      </c>
      <c r="V96" t="str">
        <f>IF(U96=T96,"","OVERRIDE")</f>
        <v/>
      </c>
      <c r="W96" t="str">
        <f>LEFT(A96,3)&amp;"-"&amp;E96</f>
        <v>000-2026-11</v>
      </c>
      <c r="X96">
        <f>COUNTIFS(Positions!$A:$A,A96)</f>
        <v>2</v>
      </c>
      <c r="Y96">
        <f>SUM($U$19:U96)</f>
        <v>7072500.5</v>
      </c>
      <c r="Z96" t="str">
        <f>UPPER(TRIM(INDEX('Entity Map'!$E:$E,MATCH(A96,'Entity Map'!$A:$A,0))))</f>
        <v>FIXED INCOME</v>
      </c>
      <c r="AA96">
        <f>SUMIFS(Positions!$F:$F,Positions!$E:$E,Z96)</f>
        <v>2496645976.4</v>
      </c>
      <c r="AB96">
        <f>IFERROR(F96/AA96,0)</f>
        <v>0.02229054386607346</v>
      </c>
      <c r="AC96">
        <f>SUMPRODUCT(Positions!$F$18:$F$185,--(Positions!$A$18:$A$185=A96))</f>
        <v>111303193.31</v>
      </c>
      <c r="AD96" t="str">
        <f>IF(U96&gt;40000,"A",IF(U96&gt;8000,"B","C"))</f>
        <v>A</v>
      </c>
      <c r="AE96">
        <f>COUNTIF('Entity Map'!$A:$A,A96)</f>
        <v>1</v>
      </c>
      <c r="AF96">
        <f>MAX(Positions!$C:$C)</f>
        <v>46354</v>
      </c>
      <c r="AG96">
        <f>YEAR(D96)</f>
        <v>2026</v>
      </c>
      <c r="AH96">
        <f>ROUND(F96*$B$14/10000,2)</f>
        <v>144694.15</v>
      </c>
      <c r="AI96">
        <f>AH96-T96</f>
        <v>44312.59</v>
      </c>
      <c r="AJ96">
        <f>AI96*$B$15</f>
        <v>42983.21229999999</v>
      </c>
      <c r="AK96" t="str">
        <f>CONCATENATE(A96," / ",TEXT(AJ96,"0.00"))</f>
        <v>00078 / 42983.21</v>
      </c>
    </row>
    <row r="97">
      <c r="A97" t="inlineStr">
        <is>
          <t>00079</t>
        </is>
      </c>
      <c r="B97" t="str">
        <f>INDEX('Entity Map'!$B:$B,MATCH(A97,'Entity Map'!$A:$A,0))</f>
        <v>Client 079 Holdings</v>
      </c>
      <c r="C97">
        <f>INDEX('Entity Map'!$F:$F,MATCH(A97,'Entity Map'!$A:$A,0))</f>
        <v>45376</v>
      </c>
      <c r="D97">
        <f>MAX(DATE(2026,11,1),C97)</f>
        <v>46327</v>
      </c>
      <c r="E97" t="str">
        <f>TEXT(D97,"yyyy-mm")</f>
        <v>2026-11</v>
      </c>
      <c r="F97">
        <f>AVERAGEIFS(Positions!$F:$F,Positions!$A:$A,A97)</f>
        <v>77097579.435</v>
      </c>
      <c r="G97">
        <f>F96</f>
        <v>55651596.655</v>
      </c>
      <c r="H97">
        <f>IF(A97=A96,G97,F97)</f>
        <v>77097579.435</v>
      </c>
      <c r="I97">
        <f>VLOOKUP(F97,'Fee Schedule'!$D$5:$F$8,3,TRUE)</f>
        <v>18.5</v>
      </c>
      <c r="J97">
        <f>IFERROR(VLOOKUP(A97,'Fee Schedule'!$A$5:$B$21,2,FALSE),I97)</f>
        <v>18.5</v>
      </c>
      <c r="K97" t="str">
        <f>INDEX('Entity Map'!$C:$C,MATCH(A97,'Entity Map'!$A:$A,0))</f>
        <v>LuxCo</v>
      </c>
      <c r="L97" t="str">
        <f>INDEX('Entity Map'!$D:$D,MATCH(A97,'Entity Map'!$A:$A,0))</f>
        <v>CC-100</v>
      </c>
      <c r="M97">
        <f>ROUND(F97*J97/10000,2)</f>
        <v>142630.52</v>
      </c>
      <c r="N97">
        <f>DAY(EOMONTH(D97,0))</f>
        <v>30</v>
      </c>
      <c r="O97">
        <f>DATEDIF(D97,EOMONTH(D97,0),"d")+1</f>
        <v>30</v>
      </c>
      <c r="P97">
        <f>ROUND(M97*O97/N97,2)</f>
        <v>142630.52</v>
      </c>
      <c r="Q97">
        <f>MAX(P97,'Fee Schedule'!$I$3)</f>
        <v>142630.52</v>
      </c>
      <c r="R97">
        <f>MIN(Q97,'Fee Schedule'!$I$4)</f>
        <v>142630.52</v>
      </c>
      <c r="S97">
        <f>IFERROR(R97*'Fee Schedule'!$I$5,0)</f>
        <v>3565.763</v>
      </c>
      <c r="T97">
        <f>ROUND(R97-S97,2)</f>
        <v>139064.76</v>
      </c>
      <c r="U97">
        <f>IFERROR(VLOOKUP(A97,Overrides!$A:$C,3,FALSE),T97)</f>
        <v>139064.76</v>
      </c>
      <c r="V97" t="str">
        <f>IF(U97=T97,"","OVERRIDE")</f>
        <v/>
      </c>
      <c r="W97" t="str">
        <f>LEFT(A97,3)&amp;"-"&amp;E97</f>
        <v>000-2026-11</v>
      </c>
      <c r="X97">
        <f>COUNTIFS(Positions!$A:$A,A97)</f>
        <v>2</v>
      </c>
      <c r="Y97">
        <f>SUM($U$19:U97)</f>
        <v>7211565.26</v>
      </c>
      <c r="Z97" t="str">
        <f>UPPER(TRIM(INDEX('Entity Map'!$E:$E,MATCH(A97,'Entity Map'!$A:$A,0))))</f>
        <v>BALANCED</v>
      </c>
      <c r="AA97">
        <f>SUMIFS(Positions!$F:$F,Positions!$E:$E,Z97)</f>
        <v>2420753390.7000003</v>
      </c>
      <c r="AB97">
        <f>IFERROR(F97/AA97,0)</f>
        <v>0.031848588844775295</v>
      </c>
      <c r="AC97">
        <f>SUMPRODUCT(Positions!$F$18:$F$185,--(Positions!$A$18:$A$185=A97))</f>
        <v>154195158.87</v>
      </c>
      <c r="AD97" t="str">
        <f>IF(U97&gt;40000,"A",IF(U97&gt;8000,"B","C"))</f>
        <v>A</v>
      </c>
      <c r="AE97">
        <f>COUNTIF('Entity Map'!$A:$A,A97)</f>
        <v>1</v>
      </c>
      <c r="AF97">
        <f>MAX(Positions!$C:$C)</f>
        <v>46354</v>
      </c>
      <c r="AG97">
        <f>YEAR(D97)</f>
        <v>2026</v>
      </c>
      <c r="AH97">
        <f>ROUND(F97*$B$14/10000,2)</f>
        <v>200453.71</v>
      </c>
      <c r="AI97">
        <f>AH97-T97</f>
        <v>61388.94999999998</v>
      </c>
      <c r="AJ97">
        <f>AI97*$B$15</f>
        <v>59547.28149999998</v>
      </c>
      <c r="AK97" t="str">
        <f>CONCATENATE(A97," / ",TEXT(AJ97,"0.00"))</f>
        <v>00079 / 59547.28</v>
      </c>
    </row>
    <row r="98">
      <c r="A98" t="inlineStr">
        <is>
          <t>00080</t>
        </is>
      </c>
      <c r="B98" t="str">
        <f>INDEX('Entity Map'!$B:$B,MATCH(A98,'Entity Map'!$A:$A,0))</f>
        <v>Client 080 Holdings</v>
      </c>
      <c r="C98">
        <f>INDEX('Entity Map'!$F:$F,MATCH(A98,'Entity Map'!$A:$A,0))</f>
        <v>45377</v>
      </c>
      <c r="D98">
        <f>MAX(DATE(2026,11,1),C98)</f>
        <v>46327</v>
      </c>
      <c r="E98" t="str">
        <f>TEXT(D98,"yyyy-mm")</f>
        <v>2026-11</v>
      </c>
      <c r="F98">
        <f>AVERAGEIFS(Positions!$F:$F,Positions!$A:$A,A98)</f>
        <v>65299241.86</v>
      </c>
      <c r="G98">
        <f>F97</f>
        <v>77097579.435</v>
      </c>
      <c r="H98">
        <f>IF(A98=A97,G98,F98)</f>
        <v>65299241.86</v>
      </c>
      <c r="I98">
        <f>VLOOKUP(F98,'Fee Schedule'!$D$5:$F$8,3,TRUE)</f>
        <v>18.5</v>
      </c>
      <c r="J98">
        <f>IFERROR(VLOOKUP(A98,'Fee Schedule'!$A$5:$B$21,2,FALSE),I98)</f>
        <v>18.5</v>
      </c>
      <c r="K98" t="str">
        <f>INDEX('Entity Map'!$C:$C,MATCH(A98,'Entity Map'!$A:$A,0))</f>
        <v>UKCo</v>
      </c>
      <c r="L98" t="str">
        <f>INDEX('Entity Map'!$D:$D,MATCH(A98,'Entity Map'!$A:$A,0))</f>
        <v>CC-110</v>
      </c>
      <c r="M98">
        <f>ROUND(F98*J98/10000,2)</f>
        <v>120803.6</v>
      </c>
      <c r="N98">
        <f>DAY(EOMONTH(D98,0))</f>
        <v>30</v>
      </c>
      <c r="O98">
        <f>DATEDIF(D98,EOMONTH(D98,0),"d")+1</f>
        <v>30</v>
      </c>
      <c r="P98">
        <f>ROUND(M98*O98/N98,2)</f>
        <v>120803.6</v>
      </c>
      <c r="Q98">
        <f>MAX(P98,'Fee Schedule'!$I$3)</f>
        <v>120803.6</v>
      </c>
      <c r="R98">
        <f>MIN(Q98,'Fee Schedule'!$I$4)</f>
        <v>120803.6</v>
      </c>
      <c r="S98">
        <f>IFERROR(R98*'Fee Schedule'!$I$5,0)</f>
        <v>3020.09</v>
      </c>
      <c r="T98">
        <f>ROUND(R98-S98,2)</f>
        <v>117783.51</v>
      </c>
      <c r="U98">
        <f>IFERROR(VLOOKUP(A98,Overrides!$A:$C,3,FALSE),T98)</f>
        <v>117783.51</v>
      </c>
      <c r="V98" t="str">
        <f>IF(U98=T98,"","OVERRIDE")</f>
        <v/>
      </c>
      <c r="W98" t="str">
        <f>LEFT(A98,3)&amp;"-"&amp;E98</f>
        <v>000-2026-11</v>
      </c>
      <c r="X98">
        <f>COUNTIFS(Positions!$A:$A,A98)</f>
        <v>2</v>
      </c>
      <c r="Y98">
        <f>SUM($U$19:U98)</f>
        <v>7329348.77</v>
      </c>
      <c r="Z98" t="str">
        <f>UPPER(TRIM(INDEX('Entity Map'!$E:$E,MATCH(A98,'Entity Map'!$A:$A,0))))</f>
        <v>EQUITY</v>
      </c>
      <c r="AA98">
        <f>SUMIFS(Positions!$F:$F,Positions!$E:$E,Z98)</f>
        <v>2806311623.609999</v>
      </c>
      <c r="AB98">
        <f>IFERROR(F98/AA98,0)</f>
        <v>0.023268706622110624</v>
      </c>
      <c r="AC98">
        <f>SUMPRODUCT(Positions!$F$18:$F$185,--(Positions!$A$18:$A$185=A98))</f>
        <v>130598483.72</v>
      </c>
      <c r="AD98" t="str">
        <f>IF(U98&gt;40000,"A",IF(U98&gt;8000,"B","C"))</f>
        <v>A</v>
      </c>
      <c r="AE98">
        <f>COUNTIF('Entity Map'!$A:$A,A98)</f>
        <v>1</v>
      </c>
      <c r="AF98">
        <f>MAX(Positions!$C:$C)</f>
        <v>46354</v>
      </c>
      <c r="AG98">
        <f>YEAR(D98)</f>
        <v>2026</v>
      </c>
      <c r="AH98">
        <f>ROUND(F98*$B$14/10000,2)</f>
        <v>169778.03</v>
      </c>
      <c r="AI98">
        <f>AH98-T98</f>
        <v>51994.520000000004</v>
      </c>
      <c r="AJ98">
        <f>AI98*$B$15</f>
        <v>50434.684400000006</v>
      </c>
      <c r="AK98" t="str">
        <f>CONCATENATE(A98," / ",TEXT(AJ98,"0.00"))</f>
        <v>00080 / 50434.68</v>
      </c>
    </row>
    <row r="99">
      <c r="A99" t="inlineStr">
        <is>
          <t>00081</t>
        </is>
      </c>
      <c r="B99" t="str">
        <f>INDEX('Entity Map'!$B:$B,MATCH(A99,'Entity Map'!$A:$A,0))</f>
        <v>Client 081 Holdings</v>
      </c>
      <c r="C99">
        <f>INDEX('Entity Map'!$F:$F,MATCH(A99,'Entity Map'!$A:$A,0))</f>
        <v>45378</v>
      </c>
      <c r="D99">
        <f>MAX(DATE(2026,11,1),C99)</f>
        <v>46327</v>
      </c>
      <c r="E99" t="str">
        <f>TEXT(D99,"yyyy-mm")</f>
        <v>2026-11</v>
      </c>
      <c r="F99">
        <f>AVERAGEIFS(Positions!$F:$F,Positions!$A:$A,A99)</f>
        <v>22743009.035</v>
      </c>
      <c r="G99">
        <f>F98</f>
        <v>65299241.86</v>
      </c>
      <c r="H99">
        <f>IF(A99=A98,G99,F99)</f>
        <v>22743009.035</v>
      </c>
      <c r="I99">
        <f>VLOOKUP(F99,'Fee Schedule'!$D$5:$F$8,3,TRUE)</f>
        <v>22</v>
      </c>
      <c r="J99">
        <f>IFERROR(VLOOKUP(A99,'Fee Schedule'!$A$5:$B$21,2,FALSE),I99)</f>
        <v>32</v>
      </c>
      <c r="K99" t="str">
        <f>INDEX('Entity Map'!$C:$C,MATCH(A99,'Entity Map'!$A:$A,0))</f>
        <v>DubCo</v>
      </c>
      <c r="L99" t="str">
        <f>INDEX('Entity Map'!$D:$D,MATCH(A99,'Entity Map'!$A:$A,0))</f>
        <v>CC-120</v>
      </c>
      <c r="M99">
        <f>ROUND(F99*J99/10000,2)</f>
        <v>72777.63</v>
      </c>
      <c r="N99">
        <f>DAY(EOMONTH(D99,0))</f>
        <v>30</v>
      </c>
      <c r="O99">
        <f>DATEDIF(D99,EOMONTH(D99,0),"d")+1</f>
        <v>30</v>
      </c>
      <c r="P99">
        <f>ROUND(M99*O99/N99,2)</f>
        <v>72777.63</v>
      </c>
      <c r="Q99">
        <f>MAX(P99,'Fee Schedule'!$I$3)</f>
        <v>72777.63</v>
      </c>
      <c r="R99">
        <f>MIN(Q99,'Fee Schedule'!$I$4)</f>
        <v>72777.63</v>
      </c>
      <c r="S99">
        <f>IFERROR(R99*'Fee Schedule'!$I$5,0)</f>
        <v>1819.4407500000002</v>
      </c>
      <c r="T99">
        <f>ROUND(R99-S99,2)</f>
        <v>70958.19</v>
      </c>
      <c r="U99">
        <f>IFERROR(VLOOKUP(A99,Overrides!$A:$C,3,FALSE),T99)</f>
        <v>70958.19</v>
      </c>
      <c r="V99" t="str">
        <f>IF(U99=T99,"","OVERRIDE")</f>
        <v/>
      </c>
      <c r="W99" t="str">
        <f>LEFT(A99,3)&amp;"-"&amp;E99</f>
        <v>000-2026-11</v>
      </c>
      <c r="X99">
        <f>COUNTIFS(Positions!$A:$A,A99)</f>
        <v>2</v>
      </c>
      <c r="Y99">
        <f>SUM($U$19:U99)</f>
        <v>7400306.96</v>
      </c>
      <c r="Z99" t="str">
        <f>UPPER(TRIM(INDEX('Entity Map'!$E:$E,MATCH(A99,'Entity Map'!$A:$A,0))))</f>
        <v>FIXED INCOME</v>
      </c>
      <c r="AA99">
        <f>SUMIFS(Positions!$F:$F,Positions!$E:$E,Z99)</f>
        <v>2496645976.4</v>
      </c>
      <c r="AB99">
        <f>IFERROR(F99/AA99,0)</f>
        <v>0.009109424904444774</v>
      </c>
      <c r="AC99">
        <f>SUMPRODUCT(Positions!$F$18:$F$185,--(Positions!$A$18:$A$185=A99))</f>
        <v>45486018.07</v>
      </c>
      <c r="AD99" t="str">
        <f>IF(U99&gt;40000,"A",IF(U99&gt;8000,"B","C"))</f>
        <v>A</v>
      </c>
      <c r="AE99">
        <f>COUNTIF('Entity Map'!$A:$A,A99)</f>
        <v>1</v>
      </c>
      <c r="AF99">
        <f>MAX(Positions!$C:$C)</f>
        <v>46354</v>
      </c>
      <c r="AG99">
        <f>YEAR(D99)</f>
        <v>2026</v>
      </c>
      <c r="AH99">
        <f>ROUND(F99*$B$14/10000,2)</f>
        <v>59131.82</v>
      </c>
      <c r="AI99">
        <f>AH99-T99</f>
        <v>-11826.370000000003</v>
      </c>
      <c r="AJ99">
        <f>AI99*$B$15</f>
        <v>-11471.578900000002</v>
      </c>
      <c r="AK99" t="str">
        <f>CONCATENATE(A99," / ",TEXT(AJ99,"0.00"))</f>
        <v>00081 / -11471.58</v>
      </c>
    </row>
    <row r="100">
      <c r="A100" t="inlineStr">
        <is>
          <t>00082</t>
        </is>
      </c>
      <c r="B100" t="str">
        <f>INDEX('Entity Map'!$B:$B,MATCH(A100,'Entity Map'!$A:$A,0))</f>
        <v>Client 082 Holdings</v>
      </c>
      <c r="C100">
        <f>INDEX('Entity Map'!$F:$F,MATCH(A100,'Entity Map'!$A:$A,0))</f>
        <v>45352</v>
      </c>
      <c r="D100">
        <f>MAX(DATE(2026,11,1),C100)</f>
        <v>46327</v>
      </c>
      <c r="E100" t="str">
        <f>TEXT(D100,"yyyy-mm")</f>
        <v>2026-11</v>
      </c>
      <c r="F100">
        <f>AVERAGEIFS(Positions!$F:$F,Positions!$A:$A,A100)</f>
        <v>28818397.200000003</v>
      </c>
      <c r="G100">
        <f>F99</f>
        <v>22743009.035</v>
      </c>
      <c r="H100">
        <f>IF(A100=A99,G100,F100)</f>
        <v>28818397.200000003</v>
      </c>
      <c r="I100">
        <f>VLOOKUP(F100,'Fee Schedule'!$D$5:$F$8,3,TRUE)</f>
        <v>22</v>
      </c>
      <c r="J100">
        <f>IFERROR(VLOOKUP(A100,'Fee Schedule'!$A$5:$B$21,2,FALSE),I100)</f>
        <v>22</v>
      </c>
      <c r="K100" t="str">
        <f>INDEX('Entity Map'!$C:$C,MATCH(A100,'Entity Map'!$A:$A,0))</f>
        <v>LuxCo</v>
      </c>
      <c r="L100" t="str">
        <f>INDEX('Entity Map'!$D:$D,MATCH(A100,'Entity Map'!$A:$A,0))</f>
        <v>CC-130</v>
      </c>
      <c r="M100">
        <f>ROUND(F100*J100/10000,2)</f>
        <v>63400.47</v>
      </c>
      <c r="N100">
        <f>DAY(EOMONTH(D100,0))</f>
        <v>30</v>
      </c>
      <c r="O100">
        <f>DATEDIF(D100,EOMONTH(D100,0),"d")+1</f>
        <v>30</v>
      </c>
      <c r="P100">
        <f>ROUND(M100*O100/N100,2)</f>
        <v>63400.47</v>
      </c>
      <c r="Q100">
        <f>MAX(P100,'Fee Schedule'!$I$3)</f>
        <v>63400.47</v>
      </c>
      <c r="R100">
        <f>MIN(Q100,'Fee Schedule'!$I$4)</f>
        <v>63400.47</v>
      </c>
      <c r="S100">
        <f>IFERROR(R100*'Fee Schedule'!$I$5,0)</f>
        <v>1585.0117500000001</v>
      </c>
      <c r="T100">
        <f>ROUND(R100-S100,2)</f>
        <v>61815.46</v>
      </c>
      <c r="U100">
        <f>IFERROR(VLOOKUP(A100,Overrides!$A:$C,3,FALSE),T100)</f>
        <v>61815.46</v>
      </c>
      <c r="V100" t="str">
        <f>IF(U100=T100,"","OVERRIDE")</f>
        <v/>
      </c>
      <c r="W100" t="str">
        <f>LEFT(A100,3)&amp;"-"&amp;E100</f>
        <v>000-2026-11</v>
      </c>
      <c r="X100">
        <f>COUNTIFS(Positions!$A:$A,A100)</f>
        <v>2</v>
      </c>
      <c r="Y100">
        <f>SUM($U$19:U100)</f>
        <v>7462122.42</v>
      </c>
      <c r="Z100" t="str">
        <f>UPPER(TRIM(INDEX('Entity Map'!$E:$E,MATCH(A100,'Entity Map'!$A:$A,0))))</f>
        <v>BALANCED</v>
      </c>
      <c r="AA100">
        <f>SUMIFS(Positions!$F:$F,Positions!$E:$E,Z100)</f>
        <v>2420753390.7000003</v>
      </c>
      <c r="AB100">
        <f>IFERROR(F100/AA100,0)</f>
        <v>0.011904722435054277</v>
      </c>
      <c r="AC100">
        <f>SUMPRODUCT(Positions!$F$18:$F$185,--(Positions!$A$18:$A$185=A100))</f>
        <v>57636794.400000006</v>
      </c>
      <c r="AD100" t="str">
        <f>IF(U100&gt;40000,"A",IF(U100&gt;8000,"B","C"))</f>
        <v>A</v>
      </c>
      <c r="AE100">
        <f>COUNTIF('Entity Map'!$A:$A,A100)</f>
        <v>1</v>
      </c>
      <c r="AF100">
        <f>MAX(Positions!$C:$C)</f>
        <v>46354</v>
      </c>
      <c r="AG100">
        <f>YEAR(D100)</f>
        <v>2026</v>
      </c>
      <c r="AH100">
        <f>ROUND(F100*$B$14/10000,2)</f>
        <v>74927.83</v>
      </c>
      <c r="AI100">
        <f>AH100-T100</f>
        <v>13112.370000000003</v>
      </c>
      <c r="AJ100">
        <f>AI100*$B$15</f>
        <v>12718.998900000002</v>
      </c>
      <c r="AK100" t="str">
        <f>CONCATENATE(A100," / ",TEXT(AJ100,"0.00"))</f>
        <v>00082 / 12719.00</v>
      </c>
    </row>
    <row r="101">
      <c r="A101" t="inlineStr">
        <is>
          <t>00083</t>
        </is>
      </c>
      <c r="B101" t="str">
        <f>INDEX('Entity Map'!$B:$B,MATCH(A101,'Entity Map'!$A:$A,0))</f>
        <v>Client 083 Holdings</v>
      </c>
      <c r="C101">
        <f>INDEX('Entity Map'!$F:$F,MATCH(A101,'Entity Map'!$A:$A,0))</f>
        <v>45353</v>
      </c>
      <c r="D101">
        <f>MAX(DATE(2026,11,1),C101)</f>
        <v>46327</v>
      </c>
      <c r="E101" t="str">
        <f>TEXT(D101,"yyyy-mm")</f>
        <v>2026-11</v>
      </c>
      <c r="F101">
        <f>AVERAGEIFS(Positions!$F:$F,Positions!$A:$A,A101)</f>
        <v>55542239.75</v>
      </c>
      <c r="G101">
        <f>F100</f>
        <v>28818397.200000003</v>
      </c>
      <c r="H101">
        <f>IF(A101=A100,G101,F101)</f>
        <v>55542239.75</v>
      </c>
      <c r="I101">
        <f>VLOOKUP(F101,'Fee Schedule'!$D$5:$F$8,3,TRUE)</f>
        <v>18.5</v>
      </c>
      <c r="J101">
        <f>IFERROR(VLOOKUP(A101,'Fee Schedule'!$A$5:$B$21,2,FALSE),I101)</f>
        <v>18.5</v>
      </c>
      <c r="K101" t="str">
        <f>INDEX('Entity Map'!$C:$C,MATCH(A101,'Entity Map'!$A:$A,0))</f>
        <v>UKCo</v>
      </c>
      <c r="L101" t="str">
        <f>INDEX('Entity Map'!$D:$D,MATCH(A101,'Entity Map'!$A:$A,0))</f>
        <v>CC-140</v>
      </c>
      <c r="M101">
        <f>ROUND(F101*J101/10000,2)</f>
        <v>102753.14</v>
      </c>
      <c r="N101">
        <f>DAY(EOMONTH(D101,0))</f>
        <v>30</v>
      </c>
      <c r="O101">
        <f>DATEDIF(D101,EOMONTH(D101,0),"d")+1</f>
        <v>30</v>
      </c>
      <c r="P101">
        <f>ROUND(M101*O101/N101,2)</f>
        <v>102753.14</v>
      </c>
      <c r="Q101">
        <f>MAX(P101,'Fee Schedule'!$I$3)</f>
        <v>102753.14</v>
      </c>
      <c r="R101">
        <f>MIN(Q101,'Fee Schedule'!$I$4)</f>
        <v>102753.14</v>
      </c>
      <c r="S101">
        <f>IFERROR(R101*'Fee Schedule'!$I$5,0)</f>
        <v>2568.8285</v>
      </c>
      <c r="T101">
        <f>ROUND(R101-S101,2)</f>
        <v>100184.31</v>
      </c>
      <c r="U101">
        <f>IFERROR(VLOOKUP(A101,Overrides!$A:$C,3,FALSE),T101)</f>
        <v>100184.31</v>
      </c>
      <c r="V101" t="str">
        <f>IF(U101=T101,"","OVERRIDE")</f>
        <v/>
      </c>
      <c r="W101" t="str">
        <f>LEFT(A101,3)&amp;"-"&amp;E101</f>
        <v>000-2026-11</v>
      </c>
      <c r="X101">
        <f>COUNTIFS(Positions!$A:$A,A101)</f>
        <v>2</v>
      </c>
      <c r="Y101">
        <f>SUM($U$19:U101)</f>
        <v>7562306.73</v>
      </c>
      <c r="Z101" t="str">
        <f>UPPER(TRIM(INDEX('Entity Map'!$E:$E,MATCH(A101,'Entity Map'!$A:$A,0))))</f>
        <v>EQUITY</v>
      </c>
      <c r="AA101">
        <f>SUMIFS(Positions!$F:$F,Positions!$E:$E,Z101)</f>
        <v>2806311623.609999</v>
      </c>
      <c r="AB101">
        <f>IFERROR(F101/AA101,0)</f>
        <v>0.01979190025894247</v>
      </c>
      <c r="AC101">
        <f>SUMPRODUCT(Positions!$F$18:$F$185,--(Positions!$A$18:$A$185=A101))</f>
        <v>111084479.5</v>
      </c>
      <c r="AD101" t="str">
        <f>IF(U101&gt;40000,"A",IF(U101&gt;8000,"B","C"))</f>
        <v>A</v>
      </c>
      <c r="AE101">
        <f>COUNTIF('Entity Map'!$A:$A,A101)</f>
        <v>1</v>
      </c>
      <c r="AF101">
        <f>MAX(Positions!$C:$C)</f>
        <v>46354</v>
      </c>
      <c r="AG101">
        <f>YEAR(D101)</f>
        <v>2026</v>
      </c>
      <c r="AH101">
        <f>ROUND(F101*$B$14/10000,2)</f>
        <v>144409.82</v>
      </c>
      <c r="AI101">
        <f>AH101-T101</f>
        <v>44225.51000000001</v>
      </c>
      <c r="AJ101">
        <f>AI101*$B$15</f>
        <v>42898.74470000001</v>
      </c>
      <c r="AK101" t="str">
        <f>CONCATENATE(A101," / ",TEXT(AJ101,"0.00"))</f>
        <v>00083 / 42898.74</v>
      </c>
    </row>
    <row r="102">
      <c r="A102" t="inlineStr">
        <is>
          <t>00084</t>
        </is>
      </c>
      <c r="B102" t="str">
        <f>INDEX('Entity Map'!$B:$B,MATCH(A102,'Entity Map'!$A:$A,0))</f>
        <v>Client 084 Holdings</v>
      </c>
      <c r="C102">
        <f>INDEX('Entity Map'!$F:$F,MATCH(A102,'Entity Map'!$A:$A,0))</f>
        <v>45354</v>
      </c>
      <c r="D102">
        <f>MAX(DATE(2026,11,1),C102)</f>
        <v>46327</v>
      </c>
      <c r="E102" t="str">
        <f>TEXT(D102,"yyyy-mm")</f>
        <v>2026-11</v>
      </c>
      <c r="F102">
        <f>AVERAGEIFS(Positions!$F:$F,Positions!$A:$A,A102)</f>
        <v>25077703.709999997</v>
      </c>
      <c r="G102">
        <f>F101</f>
        <v>55542239.75</v>
      </c>
      <c r="H102">
        <f>IF(A102=A101,G102,F102)</f>
        <v>25077703.709999997</v>
      </c>
      <c r="I102">
        <f>VLOOKUP(F102,'Fee Schedule'!$D$5:$F$8,3,TRUE)</f>
        <v>22</v>
      </c>
      <c r="J102">
        <f>IFERROR(VLOOKUP(A102,'Fee Schedule'!$A$5:$B$21,2,FALSE),I102)</f>
        <v>22</v>
      </c>
      <c r="K102" t="str">
        <f>INDEX('Entity Map'!$C:$C,MATCH(A102,'Entity Map'!$A:$A,0))</f>
        <v>DubCo</v>
      </c>
      <c r="L102" t="str">
        <f>INDEX('Entity Map'!$D:$D,MATCH(A102,'Entity Map'!$A:$A,0))</f>
        <v>CC-150</v>
      </c>
      <c r="M102">
        <f>ROUND(F102*J102/10000,2)</f>
        <v>55170.95</v>
      </c>
      <c r="N102">
        <f>DAY(EOMONTH(D102,0))</f>
        <v>30</v>
      </c>
      <c r="O102">
        <f>DATEDIF(D102,EOMONTH(D102,0),"d")+1</f>
        <v>30</v>
      </c>
      <c r="P102">
        <f>ROUND(M102*O102/N102,2)</f>
        <v>55170.95</v>
      </c>
      <c r="Q102">
        <f>MAX(P102,'Fee Schedule'!$I$3)</f>
        <v>55170.95</v>
      </c>
      <c r="R102">
        <f>MIN(Q102,'Fee Schedule'!$I$4)</f>
        <v>55170.95</v>
      </c>
      <c r="S102">
        <f>IFERROR(R102*'Fee Schedule'!$I$5,0)</f>
        <v>1379.27375</v>
      </c>
      <c r="T102">
        <f>ROUND(R102-S102,2)</f>
        <v>53791.68</v>
      </c>
      <c r="U102">
        <f>IFERROR(VLOOKUP(A102,Overrides!$A:$C,3,FALSE),T102)</f>
        <v>53791.68</v>
      </c>
      <c r="V102" t="str">
        <f>IF(U102=T102,"","OVERRIDE")</f>
        <v/>
      </c>
      <c r="W102" t="str">
        <f>LEFT(A102,3)&amp;"-"&amp;E102</f>
        <v>000-2026-11</v>
      </c>
      <c r="X102">
        <f>COUNTIFS(Positions!$A:$A,A102)</f>
        <v>2</v>
      </c>
      <c r="Y102">
        <f>SUM($U$19:U102)</f>
        <v>7616098.41</v>
      </c>
      <c r="Z102" t="str">
        <f>UPPER(TRIM(INDEX('Entity Map'!$E:$E,MATCH(A102,'Entity Map'!$A:$A,0))))</f>
        <v>FIXED INCOME</v>
      </c>
      <c r="AA102">
        <f>SUMIFS(Positions!$F:$F,Positions!$E:$E,Z102)</f>
        <v>2496645976.4</v>
      </c>
      <c r="AB102">
        <f>IFERROR(F102/AA102,0)</f>
        <v>0.010044557356970732</v>
      </c>
      <c r="AC102">
        <f>SUMPRODUCT(Positions!$F$18:$F$185,--(Positions!$A$18:$A$185=A102))</f>
        <v>50155407.419999994</v>
      </c>
      <c r="AD102" t="str">
        <f>IF(U102&gt;40000,"A",IF(U102&gt;8000,"B","C"))</f>
        <v>A</v>
      </c>
      <c r="AE102">
        <f>COUNTIF('Entity Map'!$A:$A,A102)</f>
        <v>1</v>
      </c>
      <c r="AF102">
        <f>MAX(Positions!$C:$C)</f>
        <v>46354</v>
      </c>
      <c r="AG102">
        <f>YEAR(D102)</f>
        <v>2026</v>
      </c>
      <c r="AH102">
        <f>ROUND(F102*$B$14/10000,2)</f>
        <v>65202.03</v>
      </c>
      <c r="AI102">
        <f>AH102-T102</f>
        <v>11410.349999999999</v>
      </c>
      <c r="AJ102">
        <f>AI102*$B$15</f>
        <v>11068.039499999999</v>
      </c>
      <c r="AK102" t="str">
        <f>CONCATENATE(A102," / ",TEXT(AJ102,"0.00"))</f>
        <v>00084 / 11068.04</v>
      </c>
    </row>
    <row r="104">
      <c r="A104" s="1" t="inlineStr">
        <is>
          <t>TOTAL</t>
        </is>
      </c>
      <c r="M104">
        <f>SUM(M19:M102)</f>
        <v>8230033.34</v>
      </c>
      <c r="P104">
        <f>SUM(P19:P102)</f>
        <v>8123322.62</v>
      </c>
      <c r="T104">
        <f>SUM(T19:T102)</f>
        <v>7921035.75</v>
      </c>
      <c r="U104">
        <f>SUM(U19:U102)</f>
        <v>7616098.41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1" t="inlineStr">
        <is>
          <t>client_code</t>
        </is>
      </c>
      <c r="B1" s="1" t="inlineStr">
        <is>
          <t>computed_fee</t>
        </is>
      </c>
      <c r="C1" s="1" t="inlineStr">
        <is>
          <t>agreed_fee</t>
        </is>
      </c>
      <c r="D1" s="1" t="inlineStr">
        <is>
          <t>reason</t>
        </is>
      </c>
      <c r="E1" s="1" t="inlineStr">
        <is>
          <t>agreed_on</t>
        </is>
      </c>
      <c r="F1" s="1" t="inlineStr">
        <is>
          <t>agreed_by</t>
        </is>
      </c>
    </row>
    <row r="2">
      <c r="A2" t="inlineStr">
        <is>
          <t>00007</t>
        </is>
      </c>
      <c r="B2">
        <f>INDEX(Working!$T:$T,MATCH($A2,Working!$A:$A,0))</f>
        <v>62340.34</v>
      </c>
      <c r="C2" t="n">
        <v>0</v>
      </c>
      <c r="D2" t="inlineStr">
        <is>
          <t>Fee waived for Q4 pending the mandate transfer agreed with the client in September.</t>
        </is>
      </c>
      <c r="E2" s="3" t="n">
        <v>46283</v>
      </c>
      <c r="F2" t="inlineStr">
        <is>
          <t>Billing Operations</t>
        </is>
      </c>
    </row>
    <row r="3">
      <c r="A3" t="inlineStr">
        <is>
          <t>00041</t>
        </is>
      </c>
      <c r="B3">
        <f>INDEX(Working!$T:$T,MATCH($A3,Working!$A:$A,0))</f>
        <v>172430.45</v>
      </c>
      <c r="C3" t="n">
        <v>18500</v>
      </c>
      <c r="D3" t="inlineStr">
        <is>
          <t>Capped at the 2025 level; the uplift was not communicated before the billing run.</t>
        </is>
      </c>
      <c r="E3" s="3" t="n">
        <v>46297</v>
      </c>
      <c r="F3" t="inlineStr">
        <is>
          <t>Billing Operations</t>
        </is>
      </c>
    </row>
    <row r="4">
      <c r="A4" t="inlineStr">
        <is>
          <t>00062</t>
        </is>
      </c>
      <c r="B4">
        <f>INDEX(Working!$T:$T,MATCH($A4,Working!$A:$A,0))</f>
        <v>92887.3</v>
      </c>
      <c r="C4" t="n">
        <v>4220.75</v>
      </c>
      <c r="D4" t="inlineStr">
        <is>
          <t>Manual correction: two accounts were double-counted in the position extract.</t>
        </is>
      </c>
      <c r="E4" s="3" t="n">
        <v>46329</v>
      </c>
      <c r="F4" t="inlineStr">
        <is>
          <t>Billing Operations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1" t="inlineStr">
        <is>
          <t>client_code</t>
        </is>
      </c>
      <c r="B1" s="1" t="inlineStr">
        <is>
          <t>legal_entity</t>
        </is>
      </c>
      <c r="C1" s="1" t="inlineStr">
        <is>
          <t>cost_centre</t>
        </is>
      </c>
      <c r="D1" s="1" t="inlineStr">
        <is>
          <t>period</t>
        </is>
      </c>
      <c r="E1" s="1" t="inlineStr">
        <is>
          <t>fee_gbp</t>
        </is>
      </c>
    </row>
    <row r="2">
      <c r="A2" t="inlineStr">
        <is>
          <t>00001</t>
        </is>
      </c>
      <c r="B2" t="inlineStr">
        <is>
          <t>LuxCo</t>
        </is>
      </c>
      <c r="C2" t="inlineStr">
        <is>
          <t>CC-100</t>
        </is>
      </c>
      <c r="D2" t="inlineStr">
        <is>
          <t>2026-11</t>
        </is>
      </c>
      <c r="E2">
        <f>SUMIFS(Working!$U:$U,Working!$A:$A,$A2)</f>
        <v>22501.03</v>
      </c>
    </row>
    <row r="3">
      <c r="A3" t="inlineStr">
        <is>
          <t>00004</t>
        </is>
      </c>
      <c r="B3" t="inlineStr">
        <is>
          <t>LuxCo</t>
        </is>
      </c>
      <c r="C3" t="inlineStr">
        <is>
          <t>CC-130</t>
        </is>
      </c>
      <c r="D3" t="inlineStr">
        <is>
          <t>2026-11</t>
        </is>
      </c>
      <c r="E3">
        <f>SUMIFS(Working!$U:$U,Working!$A:$A,$A3)</f>
        <v>731.25</v>
      </c>
    </row>
    <row r="4">
      <c r="A4" t="inlineStr">
        <is>
          <t>00007</t>
        </is>
      </c>
      <c r="B4" t="inlineStr">
        <is>
          <t>LuxCo</t>
        </is>
      </c>
      <c r="C4" t="inlineStr">
        <is>
          <t>CC-100</t>
        </is>
      </c>
      <c r="D4" t="inlineStr">
        <is>
          <t>2026-11</t>
        </is>
      </c>
      <c r="E4">
        <f>SUMIFS(Working!$U:$U,Working!$A:$A,$A4)</f>
        <v>62340.34</v>
      </c>
    </row>
    <row r="5">
      <c r="A5" t="inlineStr">
        <is>
          <t>00010</t>
        </is>
      </c>
      <c r="B5" t="inlineStr">
        <is>
          <t>LuxCo</t>
        </is>
      </c>
      <c r="C5" t="inlineStr">
        <is>
          <t>CC-130</t>
        </is>
      </c>
      <c r="D5" t="inlineStr">
        <is>
          <t>2026-11</t>
        </is>
      </c>
      <c r="E5">
        <f>SUMIFS(Working!$U:$U,Working!$A:$A,$A5)</f>
        <v>98960.79</v>
      </c>
    </row>
    <row r="6">
      <c r="A6" t="inlineStr">
        <is>
          <t>00013</t>
        </is>
      </c>
      <c r="B6" t="inlineStr">
        <is>
          <t>LuxCo</t>
        </is>
      </c>
      <c r="C6" t="inlineStr">
        <is>
          <t>CC-100</t>
        </is>
      </c>
      <c r="D6" t="inlineStr">
        <is>
          <t>2026-11</t>
        </is>
      </c>
      <c r="E6">
        <f>SUMIFS(Working!$U:$U,Working!$A:$A,$A6)</f>
        <v>36673.07</v>
      </c>
    </row>
    <row r="7">
      <c r="A7" t="inlineStr">
        <is>
          <t>00016</t>
        </is>
      </c>
      <c r="B7" t="inlineStr">
        <is>
          <t>LuxCo</t>
        </is>
      </c>
      <c r="C7" t="inlineStr">
        <is>
          <t>CC-130</t>
        </is>
      </c>
      <c r="D7" t="inlineStr">
        <is>
          <t>2026-11</t>
        </is>
      </c>
      <c r="E7">
        <f>SUMIFS(Working!$U:$U,Working!$A:$A,$A7)</f>
        <v>200226.77</v>
      </c>
    </row>
    <row r="8">
      <c r="A8" t="inlineStr">
        <is>
          <t>00019</t>
        </is>
      </c>
      <c r="B8" t="inlineStr">
        <is>
          <t>LuxCo</t>
        </is>
      </c>
      <c r="C8" t="inlineStr">
        <is>
          <t>CC-100</t>
        </is>
      </c>
      <c r="D8" t="inlineStr">
        <is>
          <t>2026-11</t>
        </is>
      </c>
      <c r="E8">
        <f>SUMIFS(Working!$U:$U,Working!$A:$A,$A8)</f>
        <v>68842.27</v>
      </c>
    </row>
    <row r="9">
      <c r="A9" t="inlineStr">
        <is>
          <t>00022</t>
        </is>
      </c>
      <c r="B9" t="inlineStr">
        <is>
          <t>LuxCo</t>
        </is>
      </c>
      <c r="C9" t="inlineStr">
        <is>
          <t>CC-130</t>
        </is>
      </c>
      <c r="D9" t="inlineStr">
        <is>
          <t>2026-11</t>
        </is>
      </c>
      <c r="E9">
        <f>SUMIFS(Working!$U:$U,Working!$A:$A,$A9)</f>
        <v>93487.51</v>
      </c>
    </row>
    <row r="10">
      <c r="A10" t="inlineStr">
        <is>
          <t>00025</t>
        </is>
      </c>
      <c r="B10" t="inlineStr">
        <is>
          <t>LuxCo</t>
        </is>
      </c>
      <c r="C10" t="inlineStr">
        <is>
          <t>CC-100</t>
        </is>
      </c>
      <c r="D10" t="inlineStr">
        <is>
          <t>2026-11</t>
        </is>
      </c>
      <c r="E10">
        <f>SUMIFS(Working!$U:$U,Working!$A:$A,$A10)</f>
        <v>61513.2</v>
      </c>
    </row>
    <row r="11">
      <c r="A11" t="inlineStr">
        <is>
          <t>00028</t>
        </is>
      </c>
      <c r="B11" t="inlineStr">
        <is>
          <t>LuxCo</t>
        </is>
      </c>
      <c r="C11" t="inlineStr">
        <is>
          <t>CC-130</t>
        </is>
      </c>
      <c r="D11" t="inlineStr">
        <is>
          <t>2026-11</t>
        </is>
      </c>
      <c r="E11">
        <f>SUMIFS(Working!$U:$U,Working!$A:$A,$A11)</f>
        <v>731.25</v>
      </c>
    </row>
    <row r="12">
      <c r="A12" t="inlineStr">
        <is>
          <t>00031</t>
        </is>
      </c>
      <c r="B12" t="inlineStr">
        <is>
          <t>LuxCo</t>
        </is>
      </c>
      <c r="C12" t="inlineStr">
        <is>
          <t>CC-100</t>
        </is>
      </c>
      <c r="D12" t="inlineStr">
        <is>
          <t>2026-11</t>
        </is>
      </c>
      <c r="E12">
        <f>SUMIFS(Working!$U:$U,Working!$A:$A,$A12)</f>
        <v>150539.44</v>
      </c>
    </row>
    <row r="13">
      <c r="A13" t="inlineStr">
        <is>
          <t>00034</t>
        </is>
      </c>
      <c r="B13" t="inlineStr">
        <is>
          <t>LuxCo</t>
        </is>
      </c>
      <c r="C13" t="inlineStr">
        <is>
          <t>CC-130</t>
        </is>
      </c>
      <c r="D13" t="inlineStr">
        <is>
          <t>2026-11</t>
        </is>
      </c>
      <c r="E13">
        <f>SUMIFS(Working!$U:$U,Working!$A:$A,$A13)</f>
        <v>38800.28</v>
      </c>
    </row>
    <row r="14">
      <c r="A14" t="inlineStr">
        <is>
          <t>00037</t>
        </is>
      </c>
      <c r="B14" t="inlineStr">
        <is>
          <t>LuxCo</t>
        </is>
      </c>
      <c r="C14" t="inlineStr">
        <is>
          <t>CC-100</t>
        </is>
      </c>
      <c r="D14" t="inlineStr">
        <is>
          <t>2026-11</t>
        </is>
      </c>
      <c r="E14">
        <f>SUMIFS(Working!$U:$U,Working!$A:$A,$A14)</f>
        <v>38668.99</v>
      </c>
    </row>
    <row r="15">
      <c r="A15" t="inlineStr">
        <is>
          <t>00040</t>
        </is>
      </c>
      <c r="B15" t="inlineStr">
        <is>
          <t>LuxCo</t>
        </is>
      </c>
      <c r="C15" t="inlineStr">
        <is>
          <t>CC-130</t>
        </is>
      </c>
      <c r="D15" t="inlineStr">
        <is>
          <t>2026-11</t>
        </is>
      </c>
      <c r="E15">
        <f>SUMIFS(Working!$U:$U,Working!$A:$A,$A15)</f>
        <v>107057.52</v>
      </c>
    </row>
    <row r="16">
      <c r="A16" t="inlineStr">
        <is>
          <t>00043</t>
        </is>
      </c>
      <c r="B16" t="inlineStr">
        <is>
          <t>LuxCo</t>
        </is>
      </c>
      <c r="C16" t="inlineStr">
        <is>
          <t>CC-100</t>
        </is>
      </c>
      <c r="D16" t="inlineStr">
        <is>
          <t>2026-11</t>
        </is>
      </c>
      <c r="E16">
        <f>SUMIFS(Working!$U:$U,Working!$A:$A,$A16)</f>
        <v>87322.71</v>
      </c>
    </row>
    <row r="17">
      <c r="A17" t="inlineStr">
        <is>
          <t>00046</t>
        </is>
      </c>
      <c r="B17" t="inlineStr">
        <is>
          <t>LuxCo</t>
        </is>
      </c>
      <c r="C17" t="inlineStr">
        <is>
          <t>CC-130</t>
        </is>
      </c>
      <c r="D17" t="inlineStr">
        <is>
          <t>2026-11</t>
        </is>
      </c>
      <c r="E17">
        <f>SUMIFS(Working!$U:$U,Working!$A:$A,$A17)</f>
        <v>67778.85</v>
      </c>
    </row>
    <row r="18">
      <c r="A18" t="inlineStr">
        <is>
          <t>00049</t>
        </is>
      </c>
      <c r="B18" t="inlineStr">
        <is>
          <t>LuxCo</t>
        </is>
      </c>
      <c r="C18" t="inlineStr">
        <is>
          <t>CC-100</t>
        </is>
      </c>
      <c r="D18" t="inlineStr">
        <is>
          <t>2026-11</t>
        </is>
      </c>
      <c r="E18">
        <f>SUMIFS(Working!$U:$U,Working!$A:$A,$A18)</f>
        <v>112189.37</v>
      </c>
    </row>
    <row r="19">
      <c r="A19" t="inlineStr">
        <is>
          <t>00052</t>
        </is>
      </c>
      <c r="B19" t="inlineStr">
        <is>
          <t>LuxCo</t>
        </is>
      </c>
      <c r="C19" t="inlineStr">
        <is>
          <t>CC-130</t>
        </is>
      </c>
      <c r="D19" t="inlineStr">
        <is>
          <t>2026-11</t>
        </is>
      </c>
      <c r="E19">
        <f>SUMIFS(Working!$U:$U,Working!$A:$A,$A19)</f>
        <v>105314.82</v>
      </c>
    </row>
    <row r="20">
      <c r="A20" t="inlineStr">
        <is>
          <t>00055</t>
        </is>
      </c>
      <c r="B20" t="inlineStr">
        <is>
          <t>LuxCo</t>
        </is>
      </c>
      <c r="C20" t="inlineStr">
        <is>
          <t>CC-100</t>
        </is>
      </c>
      <c r="D20" t="inlineStr">
        <is>
          <t>2026-11</t>
        </is>
      </c>
      <c r="E20">
        <f>SUMIFS(Working!$U:$U,Working!$A:$A,$A20)</f>
        <v>137846.52</v>
      </c>
    </row>
    <row r="21">
      <c r="A21" t="inlineStr">
        <is>
          <t>00058</t>
        </is>
      </c>
      <c r="B21" t="inlineStr">
        <is>
          <t>LuxCo</t>
        </is>
      </c>
      <c r="C21" t="inlineStr">
        <is>
          <t>CC-130</t>
        </is>
      </c>
      <c r="D21" t="inlineStr">
        <is>
          <t>2026-11</t>
        </is>
      </c>
      <c r="E21">
        <f>SUMIFS(Working!$U:$U,Working!$A:$A,$A21)</f>
        <v>105232.63</v>
      </c>
    </row>
    <row r="22">
      <c r="A22" t="inlineStr">
        <is>
          <t>00061</t>
        </is>
      </c>
      <c r="B22" t="inlineStr">
        <is>
          <t>LuxCo</t>
        </is>
      </c>
      <c r="C22" t="inlineStr">
        <is>
          <t>CC-100</t>
        </is>
      </c>
      <c r="D22" t="inlineStr">
        <is>
          <t>2026-11</t>
        </is>
      </c>
      <c r="E22">
        <f>SUMIFS(Working!$U:$U,Working!$A:$A,$A22)</f>
        <v>127080.3</v>
      </c>
    </row>
    <row r="23">
      <c r="A23" t="inlineStr">
        <is>
          <t>00064</t>
        </is>
      </c>
      <c r="B23" t="inlineStr">
        <is>
          <t>LuxCo</t>
        </is>
      </c>
      <c r="C23" t="inlineStr">
        <is>
          <t>CC-130</t>
        </is>
      </c>
      <c r="D23" t="inlineStr">
        <is>
          <t>2026-11</t>
        </is>
      </c>
      <c r="E23">
        <f>SUMIFS(Working!$U:$U,Working!$A:$A,$A23)</f>
        <v>60632.13</v>
      </c>
    </row>
    <row r="24">
      <c r="A24" t="inlineStr">
        <is>
          <t>00067</t>
        </is>
      </c>
      <c r="B24" t="inlineStr">
        <is>
          <t>LuxCo</t>
        </is>
      </c>
      <c r="C24" t="inlineStr">
        <is>
          <t>CC-100</t>
        </is>
      </c>
      <c r="D24" t="inlineStr">
        <is>
          <t>2026-11</t>
        </is>
      </c>
      <c r="E24">
        <f>SUMIFS(Working!$U:$U,Working!$A:$A,$A24)</f>
        <v>76653.73</v>
      </c>
    </row>
    <row r="25">
      <c r="A25" t="inlineStr">
        <is>
          <t>00070</t>
        </is>
      </c>
      <c r="B25" t="inlineStr">
        <is>
          <t>LuxCo</t>
        </is>
      </c>
      <c r="C25" t="inlineStr">
        <is>
          <t>CC-130</t>
        </is>
      </c>
      <c r="D25" t="inlineStr">
        <is>
          <t>2026-11</t>
        </is>
      </c>
      <c r="E25">
        <f>SUMIFS(Working!$U:$U,Working!$A:$A,$A25)</f>
        <v>112918.24</v>
      </c>
    </row>
    <row r="26">
      <c r="A26" t="inlineStr">
        <is>
          <t>00073</t>
        </is>
      </c>
      <c r="B26" t="inlineStr">
        <is>
          <t>LuxCo</t>
        </is>
      </c>
      <c r="C26" t="inlineStr">
        <is>
          <t>CC-100</t>
        </is>
      </c>
      <c r="D26" t="inlineStr">
        <is>
          <t>2026-11</t>
        </is>
      </c>
      <c r="E26">
        <f>SUMIFS(Working!$U:$U,Working!$A:$A,$A26)</f>
        <v>67174.99</v>
      </c>
    </row>
    <row r="27">
      <c r="A27" t="inlineStr">
        <is>
          <t>00076</t>
        </is>
      </c>
      <c r="B27" t="inlineStr">
        <is>
          <t>LuxCo</t>
        </is>
      </c>
      <c r="C27" t="inlineStr">
        <is>
          <t>CC-130</t>
        </is>
      </c>
      <c r="D27" t="inlineStr">
        <is>
          <t>2026-11</t>
        </is>
      </c>
      <c r="E27">
        <f>SUMIFS(Working!$U:$U,Working!$A:$A,$A27)</f>
        <v>207002.12</v>
      </c>
    </row>
    <row r="28">
      <c r="A28" t="inlineStr">
        <is>
          <t>00079</t>
        </is>
      </c>
      <c r="B28" t="inlineStr">
        <is>
          <t>LuxCo</t>
        </is>
      </c>
      <c r="C28" t="inlineStr">
        <is>
          <t>CC-100</t>
        </is>
      </c>
      <c r="D28" t="inlineStr">
        <is>
          <t>2026-11</t>
        </is>
      </c>
      <c r="E28">
        <f>SUMIFS(Working!$U:$U,Working!$A:$A,$A28)</f>
        <v>139064.76</v>
      </c>
    </row>
    <row r="29">
      <c r="A29" t="inlineStr">
        <is>
          <t>00082</t>
        </is>
      </c>
      <c r="B29" t="inlineStr">
        <is>
          <t>LuxCo</t>
        </is>
      </c>
      <c r="C29" t="inlineStr">
        <is>
          <t>CC-130</t>
        </is>
      </c>
      <c r="D29" t="inlineStr">
        <is>
          <t>2026-11</t>
        </is>
      </c>
      <c r="E29">
        <f>SUMIFS(Working!$U:$U,Working!$A:$A,$A29)</f>
        <v>61815.46</v>
      </c>
    </row>
    <row r="30">
      <c r="B30" s="1" t="inlineStr">
        <is>
          <t>LuxCo subtotal</t>
        </is>
      </c>
      <c r="E30">
        <f>SUBTOTAL(9,E2:E29)</f>
        <v>2449100.34</v>
      </c>
    </row>
    <row r="31">
      <c r="A31" t="inlineStr">
        <is>
          <t>00002</t>
        </is>
      </c>
      <c r="B31" t="inlineStr">
        <is>
          <t>UKCo</t>
        </is>
      </c>
      <c r="C31" t="inlineStr">
        <is>
          <t>CC-110</t>
        </is>
      </c>
      <c r="D31" t="inlineStr">
        <is>
          <t>2026-11</t>
        </is>
      </c>
      <c r="E31">
        <f>SUMIFS(Working!$U:$U,Working!$A:$A,$A31)</f>
        <v>96228.81</v>
      </c>
    </row>
    <row r="32">
      <c r="A32" t="inlineStr">
        <is>
          <t>00005</t>
        </is>
      </c>
      <c r="B32" t="inlineStr">
        <is>
          <t>UKCo</t>
        </is>
      </c>
      <c r="C32" t="inlineStr">
        <is>
          <t>CC-140</t>
        </is>
      </c>
      <c r="D32" t="inlineStr">
        <is>
          <t>2026-11</t>
        </is>
      </c>
      <c r="E32">
        <f>SUMIFS(Working!$U:$U,Working!$A:$A,$A32)</f>
        <v>96176.95</v>
      </c>
    </row>
    <row r="33">
      <c r="A33" t="inlineStr">
        <is>
          <t>00008</t>
        </is>
      </c>
      <c r="B33" t="inlineStr">
        <is>
          <t>UKCo</t>
        </is>
      </c>
      <c r="C33" t="inlineStr">
        <is>
          <t>CC-110</t>
        </is>
      </c>
      <c r="D33" t="inlineStr">
        <is>
          <t>2026-11</t>
        </is>
      </c>
      <c r="E33">
        <f>SUMIFS(Working!$U:$U,Working!$A:$A,$A33)</f>
        <v>79741.33</v>
      </c>
    </row>
    <row r="34">
      <c r="A34" t="inlineStr">
        <is>
          <t>00011</t>
        </is>
      </c>
      <c r="B34" t="inlineStr">
        <is>
          <t>UKCo</t>
        </is>
      </c>
      <c r="C34" t="inlineStr">
        <is>
          <t>CC-140</t>
        </is>
      </c>
      <c r="D34" t="inlineStr">
        <is>
          <t>2026-11</t>
        </is>
      </c>
      <c r="E34">
        <f>SUMIFS(Working!$U:$U,Working!$A:$A,$A34)</f>
        <v>34393.04</v>
      </c>
    </row>
    <row r="35">
      <c r="A35" t="inlineStr">
        <is>
          <t>00014</t>
        </is>
      </c>
      <c r="B35" t="inlineStr">
        <is>
          <t>UKCo</t>
        </is>
      </c>
      <c r="C35" t="inlineStr">
        <is>
          <t>CC-110</t>
        </is>
      </c>
      <c r="D35" t="inlineStr">
        <is>
          <t>2026-11</t>
        </is>
      </c>
      <c r="E35">
        <f>SUMIFS(Working!$U:$U,Working!$A:$A,$A35)</f>
        <v>43813.28</v>
      </c>
    </row>
    <row r="36">
      <c r="A36" t="inlineStr">
        <is>
          <t>00017</t>
        </is>
      </c>
      <c r="B36" t="inlineStr">
        <is>
          <t>UKCo</t>
        </is>
      </c>
      <c r="C36" t="inlineStr">
        <is>
          <t>CC-140</t>
        </is>
      </c>
      <c r="D36" t="inlineStr">
        <is>
          <t>2026-11</t>
        </is>
      </c>
      <c r="E36">
        <f>SUMIFS(Working!$U:$U,Working!$A:$A,$A36)</f>
        <v>19330.6</v>
      </c>
    </row>
    <row r="37">
      <c r="A37" t="inlineStr">
        <is>
          <t>00020</t>
        </is>
      </c>
      <c r="B37" t="inlineStr">
        <is>
          <t>UKCo</t>
        </is>
      </c>
      <c r="C37" t="inlineStr">
        <is>
          <t>CC-110</t>
        </is>
      </c>
      <c r="D37" t="inlineStr">
        <is>
          <t>2026-11</t>
        </is>
      </c>
      <c r="E37">
        <f>SUMIFS(Working!$U:$U,Working!$A:$A,$A37)</f>
        <v>155130.42</v>
      </c>
    </row>
    <row r="38">
      <c r="A38" t="inlineStr">
        <is>
          <t>00023</t>
        </is>
      </c>
      <c r="B38" t="inlineStr">
        <is>
          <t>UKCo</t>
        </is>
      </c>
      <c r="C38" t="inlineStr">
        <is>
          <t>CC-140</t>
        </is>
      </c>
      <c r="D38" t="inlineStr">
        <is>
          <t>2026-11</t>
        </is>
      </c>
      <c r="E38">
        <f>SUMIFS(Working!$U:$U,Working!$A:$A,$A38)</f>
        <v>93988.77</v>
      </c>
    </row>
    <row r="39">
      <c r="A39" t="inlineStr">
        <is>
          <t>00026</t>
        </is>
      </c>
      <c r="B39" t="inlineStr">
        <is>
          <t>UKCo</t>
        </is>
      </c>
      <c r="C39" t="inlineStr">
        <is>
          <t>CC-110</t>
        </is>
      </c>
      <c r="D39" t="inlineStr">
        <is>
          <t>2026-11</t>
        </is>
      </c>
      <c r="E39">
        <f>SUMIFS(Working!$U:$U,Working!$A:$A,$A39)</f>
        <v>205996.2</v>
      </c>
    </row>
    <row r="40">
      <c r="A40" t="inlineStr">
        <is>
          <t>00029</t>
        </is>
      </c>
      <c r="B40" t="inlineStr">
        <is>
          <t>UKCo</t>
        </is>
      </c>
      <c r="C40" t="inlineStr">
        <is>
          <t>CC-140</t>
        </is>
      </c>
      <c r="D40" t="inlineStr">
        <is>
          <t>2026-11</t>
        </is>
      </c>
      <c r="E40">
        <f>SUMIFS(Working!$U:$U,Working!$A:$A,$A40)</f>
        <v>138822.86</v>
      </c>
    </row>
    <row r="41">
      <c r="A41" t="inlineStr">
        <is>
          <t>00032</t>
        </is>
      </c>
      <c r="B41" t="inlineStr">
        <is>
          <t>UKCo</t>
        </is>
      </c>
      <c r="C41" t="inlineStr">
        <is>
          <t>CC-110</t>
        </is>
      </c>
      <c r="D41" t="inlineStr">
        <is>
          <t>2026-11</t>
        </is>
      </c>
      <c r="E41">
        <f>SUMIFS(Working!$U:$U,Working!$A:$A,$A41)</f>
        <v>91707.8</v>
      </c>
    </row>
    <row r="42">
      <c r="A42" t="inlineStr">
        <is>
          <t>00035</t>
        </is>
      </c>
      <c r="B42" t="inlineStr">
        <is>
          <t>UKCo</t>
        </is>
      </c>
      <c r="C42" t="inlineStr">
        <is>
          <t>CC-140</t>
        </is>
      </c>
      <c r="D42" t="inlineStr">
        <is>
          <t>2026-11</t>
        </is>
      </c>
      <c r="E42">
        <f>SUMIFS(Working!$U:$U,Working!$A:$A,$A42)</f>
        <v>132373.42</v>
      </c>
    </row>
    <row r="43">
      <c r="A43" t="inlineStr">
        <is>
          <t>00038</t>
        </is>
      </c>
      <c r="B43" t="inlineStr">
        <is>
          <t>UKCo</t>
        </is>
      </c>
      <c r="C43" t="inlineStr">
        <is>
          <t>CC-110</t>
        </is>
      </c>
      <c r="D43" t="inlineStr">
        <is>
          <t>2026-11</t>
        </is>
      </c>
      <c r="E43">
        <f>SUMIFS(Working!$U:$U,Working!$A:$A,$A43)</f>
        <v>98373.8</v>
      </c>
    </row>
    <row r="44">
      <c r="A44" t="inlineStr">
        <is>
          <t>00041</t>
        </is>
      </c>
      <c r="B44" t="inlineStr">
        <is>
          <t>UKCo</t>
        </is>
      </c>
      <c r="C44" t="inlineStr">
        <is>
          <t>CC-140</t>
        </is>
      </c>
      <c r="D44" t="inlineStr">
        <is>
          <t>2026-11</t>
        </is>
      </c>
      <c r="E44">
        <f>SUMIFS(Working!$U:$U,Working!$A:$A,$A44)</f>
        <v>172430.45</v>
      </c>
    </row>
    <row r="45">
      <c r="A45" t="inlineStr">
        <is>
          <t>00044</t>
        </is>
      </c>
      <c r="B45" t="inlineStr">
        <is>
          <t>UKCo</t>
        </is>
      </c>
      <c r="C45" t="inlineStr">
        <is>
          <t>CC-110</t>
        </is>
      </c>
      <c r="D45" t="inlineStr">
        <is>
          <t>2026-11</t>
        </is>
      </c>
      <c r="E45">
        <f>SUMIFS(Working!$U:$U,Working!$A:$A,$A45)</f>
        <v>106490.96</v>
      </c>
    </row>
    <row r="46">
      <c r="A46" t="inlineStr">
        <is>
          <t>00047</t>
        </is>
      </c>
      <c r="B46" t="inlineStr">
        <is>
          <t>UKCo</t>
        </is>
      </c>
      <c r="C46" t="inlineStr">
        <is>
          <t>CC-140</t>
        </is>
      </c>
      <c r="D46" t="inlineStr">
        <is>
          <t>2026-11</t>
        </is>
      </c>
      <c r="E46">
        <f>SUMIFS(Working!$U:$U,Working!$A:$A,$A46)</f>
        <v>101453.43</v>
      </c>
    </row>
    <row r="47">
      <c r="A47" t="inlineStr">
        <is>
          <t>00050</t>
        </is>
      </c>
      <c r="B47" t="inlineStr">
        <is>
          <t>UKCo</t>
        </is>
      </c>
      <c r="C47" t="inlineStr">
        <is>
          <t>CC-110</t>
        </is>
      </c>
      <c r="D47" t="inlineStr">
        <is>
          <t>2026-11</t>
        </is>
      </c>
      <c r="E47">
        <f>SUMIFS(Working!$U:$U,Working!$A:$A,$A47)</f>
        <v>96683.59</v>
      </c>
    </row>
    <row r="48">
      <c r="A48" t="inlineStr">
        <is>
          <t>00053</t>
        </is>
      </c>
      <c r="B48" t="inlineStr">
        <is>
          <t>UKCo</t>
        </is>
      </c>
      <c r="C48" t="inlineStr">
        <is>
          <t>CC-140</t>
        </is>
      </c>
      <c r="D48" t="inlineStr">
        <is>
          <t>2026-11</t>
        </is>
      </c>
      <c r="E48">
        <f>SUMIFS(Working!$U:$U,Working!$A:$A,$A48)</f>
        <v>66181.1</v>
      </c>
    </row>
    <row r="49">
      <c r="A49" t="inlineStr">
        <is>
          <t>00056</t>
        </is>
      </c>
      <c r="B49" t="inlineStr">
        <is>
          <t>UKCo</t>
        </is>
      </c>
      <c r="C49" t="inlineStr">
        <is>
          <t>CC-110</t>
        </is>
      </c>
      <c r="D49" t="inlineStr">
        <is>
          <t>2026-11</t>
        </is>
      </c>
      <c r="E49">
        <f>SUMIFS(Working!$U:$U,Working!$A:$A,$A49)</f>
        <v>132762.5</v>
      </c>
    </row>
    <row r="50">
      <c r="A50" t="inlineStr">
        <is>
          <t>00059</t>
        </is>
      </c>
      <c r="B50" t="inlineStr">
        <is>
          <t>UKCo</t>
        </is>
      </c>
      <c r="C50" t="inlineStr">
        <is>
          <t>CC-140</t>
        </is>
      </c>
      <c r="D50" t="inlineStr">
        <is>
          <t>2026-11</t>
        </is>
      </c>
      <c r="E50">
        <f>SUMIFS(Working!$U:$U,Working!$A:$A,$A50)</f>
        <v>78962.6</v>
      </c>
    </row>
    <row r="51">
      <c r="A51" t="inlineStr">
        <is>
          <t>00062</t>
        </is>
      </c>
      <c r="B51" t="inlineStr">
        <is>
          <t>UKCo</t>
        </is>
      </c>
      <c r="C51" t="inlineStr">
        <is>
          <t>CC-110</t>
        </is>
      </c>
      <c r="D51" t="inlineStr">
        <is>
          <t>2026-11</t>
        </is>
      </c>
      <c r="E51">
        <f>SUMIFS(Working!$U:$U,Working!$A:$A,$A51)</f>
        <v>92887.3</v>
      </c>
    </row>
    <row r="52">
      <c r="A52" t="inlineStr">
        <is>
          <t>00065</t>
        </is>
      </c>
      <c r="B52" t="inlineStr">
        <is>
          <t>UKCo</t>
        </is>
      </c>
      <c r="C52" t="inlineStr">
        <is>
          <t>CC-140</t>
        </is>
      </c>
      <c r="D52" t="inlineStr">
        <is>
          <t>2026-11</t>
        </is>
      </c>
      <c r="E52">
        <f>SUMIFS(Working!$U:$U,Working!$A:$A,$A52)</f>
        <v>135588.25</v>
      </c>
    </row>
    <row r="53">
      <c r="A53" t="inlineStr">
        <is>
          <t>00068</t>
        </is>
      </c>
      <c r="B53" t="inlineStr">
        <is>
          <t>UKCo</t>
        </is>
      </c>
      <c r="C53" t="inlineStr">
        <is>
          <t>CC-110</t>
        </is>
      </c>
      <c r="D53" t="inlineStr">
        <is>
          <t>2026-11</t>
        </is>
      </c>
      <c r="E53">
        <f>SUMIFS(Working!$U:$U,Working!$A:$A,$A53)</f>
        <v>62547.06</v>
      </c>
    </row>
    <row r="54">
      <c r="A54" t="inlineStr">
        <is>
          <t>00071</t>
        </is>
      </c>
      <c r="B54" t="inlineStr">
        <is>
          <t>UKCo</t>
        </is>
      </c>
      <c r="C54" t="inlineStr">
        <is>
          <t>CC-140</t>
        </is>
      </c>
      <c r="D54" t="inlineStr">
        <is>
          <t>2026-11</t>
        </is>
      </c>
      <c r="E54">
        <f>SUMIFS(Working!$U:$U,Working!$A:$A,$A54)</f>
        <v>188805.48</v>
      </c>
    </row>
    <row r="55">
      <c r="A55" t="inlineStr">
        <is>
          <t>00074</t>
        </is>
      </c>
      <c r="B55" t="inlineStr">
        <is>
          <t>UKCo</t>
        </is>
      </c>
      <c r="C55" t="inlineStr">
        <is>
          <t>CC-110</t>
        </is>
      </c>
      <c r="D55" t="inlineStr">
        <is>
          <t>2026-11</t>
        </is>
      </c>
      <c r="E55">
        <f>SUMIFS(Working!$U:$U,Working!$A:$A,$A55)</f>
        <v>91654.23</v>
      </c>
    </row>
    <row r="56">
      <c r="A56" t="inlineStr">
        <is>
          <t>00077</t>
        </is>
      </c>
      <c r="B56" t="inlineStr">
        <is>
          <t>UKCo</t>
        </is>
      </c>
      <c r="C56" t="inlineStr">
        <is>
          <t>CC-140</t>
        </is>
      </c>
      <c r="D56" t="inlineStr">
        <is>
          <t>2026-11</t>
        </is>
      </c>
      <c r="E56">
        <f>SUMIFS(Working!$U:$U,Working!$A:$A,$A56)</f>
        <v>12696.04</v>
      </c>
    </row>
    <row r="57">
      <c r="A57" t="inlineStr">
        <is>
          <t>00080</t>
        </is>
      </c>
      <c r="B57" t="inlineStr">
        <is>
          <t>UKCo</t>
        </is>
      </c>
      <c r="C57" t="inlineStr">
        <is>
          <t>CC-110</t>
        </is>
      </c>
      <c r="D57" t="inlineStr">
        <is>
          <t>2026-11</t>
        </is>
      </c>
      <c r="E57">
        <f>SUMIFS(Working!$U:$U,Working!$A:$A,$A57)</f>
        <v>117783.51</v>
      </c>
    </row>
    <row r="58">
      <c r="A58" t="inlineStr">
        <is>
          <t>00083</t>
        </is>
      </c>
      <c r="B58" t="inlineStr">
        <is>
          <t>UKCo</t>
        </is>
      </c>
      <c r="C58" t="inlineStr">
        <is>
          <t>CC-140</t>
        </is>
      </c>
      <c r="D58" t="inlineStr">
        <is>
          <t>2026-11</t>
        </is>
      </c>
      <c r="E58">
        <f>SUMIFS(Working!$U:$U,Working!$A:$A,$A58)</f>
        <v>100184.31</v>
      </c>
    </row>
    <row r="59">
      <c r="B59" s="1" t="inlineStr">
        <is>
          <t>UKCo subtotal</t>
        </is>
      </c>
      <c r="E59">
        <f>SUBTOTAL(9,E31:E58)</f>
        <v>2843188.09</v>
      </c>
    </row>
    <row r="60">
      <c r="A60" t="inlineStr">
        <is>
          <t>00003</t>
        </is>
      </c>
      <c r="B60" t="inlineStr">
        <is>
          <t>DubCo</t>
        </is>
      </c>
      <c r="C60" t="inlineStr">
        <is>
          <t>CC-120</t>
        </is>
      </c>
      <c r="D60" t="inlineStr">
        <is>
          <t>2026-11</t>
        </is>
      </c>
      <c r="E60">
        <f>SUMIFS(Working!$U:$U,Working!$A:$A,$A60)</f>
        <v>84347.46</v>
      </c>
    </row>
    <row r="61">
      <c r="A61" t="inlineStr">
        <is>
          <t>00006</t>
        </is>
      </c>
      <c r="B61" t="inlineStr">
        <is>
          <t>DubCo</t>
        </is>
      </c>
      <c r="C61" t="inlineStr">
        <is>
          <t>CC-150</t>
        </is>
      </c>
      <c r="D61" t="inlineStr">
        <is>
          <t>2026-11</t>
        </is>
      </c>
      <c r="E61">
        <f>SUMIFS(Working!$U:$U,Working!$A:$A,$A61)</f>
        <v>99011.38</v>
      </c>
    </row>
    <row r="62">
      <c r="A62" t="inlineStr">
        <is>
          <t>00009</t>
        </is>
      </c>
      <c r="B62" t="inlineStr">
        <is>
          <t>DubCo</t>
        </is>
      </c>
      <c r="C62" t="inlineStr">
        <is>
          <t>CC-120</t>
        </is>
      </c>
      <c r="D62" t="inlineStr">
        <is>
          <t>2026-11</t>
        </is>
      </c>
      <c r="E62">
        <f>SUMIFS(Working!$U:$U,Working!$A:$A,$A62)</f>
        <v>102817.11</v>
      </c>
    </row>
    <row r="63">
      <c r="A63" t="inlineStr">
        <is>
          <t>00012</t>
        </is>
      </c>
      <c r="B63" t="inlineStr">
        <is>
          <t>DubCo</t>
        </is>
      </c>
      <c r="C63" t="inlineStr">
        <is>
          <t>CC-150</t>
        </is>
      </c>
      <c r="D63" t="inlineStr">
        <is>
          <t>2026-11</t>
        </is>
      </c>
      <c r="E63">
        <f>SUMIFS(Working!$U:$U,Working!$A:$A,$A63)</f>
        <v>35785.22</v>
      </c>
    </row>
    <row r="64">
      <c r="A64" t="inlineStr">
        <is>
          <t>00015</t>
        </is>
      </c>
      <c r="B64" t="inlineStr">
        <is>
          <t>DubCo</t>
        </is>
      </c>
      <c r="C64" t="inlineStr">
        <is>
          <t>CC-120</t>
        </is>
      </c>
      <c r="D64" t="inlineStr">
        <is>
          <t>2026-11</t>
        </is>
      </c>
      <c r="E64">
        <f>SUMIFS(Working!$U:$U,Working!$A:$A,$A64)</f>
        <v>88456.55</v>
      </c>
    </row>
    <row r="65">
      <c r="A65" t="inlineStr">
        <is>
          <t>00018</t>
        </is>
      </c>
      <c r="B65" t="inlineStr">
        <is>
          <t>DubCo</t>
        </is>
      </c>
      <c r="C65" t="inlineStr">
        <is>
          <t>CC-150</t>
        </is>
      </c>
      <c r="D65" t="inlineStr">
        <is>
          <t>2026-11</t>
        </is>
      </c>
      <c r="E65">
        <f>SUMIFS(Working!$U:$U,Working!$A:$A,$A65)</f>
        <v>93555.79</v>
      </c>
    </row>
    <row r="66">
      <c r="A66" t="inlineStr">
        <is>
          <t>00021</t>
        </is>
      </c>
      <c r="B66" t="inlineStr">
        <is>
          <t>DubCo</t>
        </is>
      </c>
      <c r="C66" t="inlineStr">
        <is>
          <t>CC-120</t>
        </is>
      </c>
      <c r="D66" t="inlineStr">
        <is>
          <t>2026-11</t>
        </is>
      </c>
      <c r="E66">
        <f>SUMIFS(Working!$U:$U,Working!$A:$A,$A66)</f>
        <v>176066.19</v>
      </c>
    </row>
    <row r="67">
      <c r="A67" t="inlineStr">
        <is>
          <t>00024</t>
        </is>
      </c>
      <c r="B67" t="inlineStr">
        <is>
          <t>DubCo</t>
        </is>
      </c>
      <c r="C67" t="inlineStr">
        <is>
          <t>CC-150</t>
        </is>
      </c>
      <c r="D67" t="inlineStr">
        <is>
          <t>2026-11</t>
        </is>
      </c>
      <c r="E67">
        <f>SUMIFS(Working!$U:$U,Working!$A:$A,$A67)</f>
        <v>98329.2</v>
      </c>
    </row>
    <row r="68">
      <c r="A68" t="inlineStr">
        <is>
          <t>00027</t>
        </is>
      </c>
      <c r="B68" t="inlineStr">
        <is>
          <t>DubCo</t>
        </is>
      </c>
      <c r="C68" t="inlineStr">
        <is>
          <t>CC-120</t>
        </is>
      </c>
      <c r="D68" t="inlineStr">
        <is>
          <t>2026-11</t>
        </is>
      </c>
      <c r="E68">
        <f>SUMIFS(Working!$U:$U,Working!$A:$A,$A68)</f>
        <v>75532.16</v>
      </c>
    </row>
    <row r="69">
      <c r="A69" t="inlineStr">
        <is>
          <t>00030</t>
        </is>
      </c>
      <c r="B69" t="inlineStr">
        <is>
          <t>DubCo</t>
        </is>
      </c>
      <c r="C69" t="inlineStr">
        <is>
          <t>CC-150</t>
        </is>
      </c>
      <c r="D69" t="inlineStr">
        <is>
          <t>2026-11</t>
        </is>
      </c>
      <c r="E69">
        <f>SUMIFS(Working!$U:$U,Working!$A:$A,$A69)</f>
        <v>93369.64</v>
      </c>
    </row>
    <row r="70">
      <c r="A70" t="inlineStr">
        <is>
          <t>00033</t>
        </is>
      </c>
      <c r="B70" t="inlineStr">
        <is>
          <t>DubCo</t>
        </is>
      </c>
      <c r="C70" t="inlineStr">
        <is>
          <t>CC-120</t>
        </is>
      </c>
      <c r="D70" t="inlineStr">
        <is>
          <t>2026-11</t>
        </is>
      </c>
      <c r="E70">
        <f>SUMIFS(Working!$U:$U,Working!$A:$A,$A70)</f>
        <v>122629.26</v>
      </c>
    </row>
    <row r="71">
      <c r="A71" t="inlineStr">
        <is>
          <t>00036</t>
        </is>
      </c>
      <c r="B71" t="inlineStr">
        <is>
          <t>DubCo</t>
        </is>
      </c>
      <c r="C71" t="inlineStr">
        <is>
          <t>CC-150</t>
        </is>
      </c>
      <c r="D71" t="inlineStr">
        <is>
          <t>2026-11</t>
        </is>
      </c>
      <c r="E71">
        <f>SUMIFS(Working!$U:$U,Working!$A:$A,$A71)</f>
        <v>139969.12</v>
      </c>
    </row>
    <row r="72">
      <c r="A72" t="inlineStr">
        <is>
          <t>00039</t>
        </is>
      </c>
      <c r="B72" t="inlineStr">
        <is>
          <t>DubCo</t>
        </is>
      </c>
      <c r="C72" t="inlineStr">
        <is>
          <t>CC-120</t>
        </is>
      </c>
      <c r="D72" t="inlineStr">
        <is>
          <t>2026-11</t>
        </is>
      </c>
      <c r="E72">
        <f>SUMIFS(Working!$U:$U,Working!$A:$A,$A72)</f>
        <v>26802.96</v>
      </c>
    </row>
    <row r="73">
      <c r="A73" t="inlineStr">
        <is>
          <t>00042</t>
        </is>
      </c>
      <c r="B73" t="inlineStr">
        <is>
          <t>DubCo</t>
        </is>
      </c>
      <c r="C73" t="inlineStr">
        <is>
          <t>CC-150</t>
        </is>
      </c>
      <c r="D73" t="inlineStr">
        <is>
          <t>2026-11</t>
        </is>
      </c>
      <c r="E73">
        <f>SUMIFS(Working!$U:$U,Working!$A:$A,$A73)</f>
        <v>46476.43</v>
      </c>
    </row>
    <row r="74">
      <c r="A74" t="inlineStr">
        <is>
          <t>00045</t>
        </is>
      </c>
      <c r="B74" t="inlineStr">
        <is>
          <t>DubCo</t>
        </is>
      </c>
      <c r="C74" t="inlineStr">
        <is>
          <t>CC-120</t>
        </is>
      </c>
      <c r="D74" t="inlineStr">
        <is>
          <t>2026-11</t>
        </is>
      </c>
      <c r="E74">
        <f>SUMIFS(Working!$U:$U,Working!$A:$A,$A74)</f>
        <v>104699.42</v>
      </c>
    </row>
    <row r="75">
      <c r="A75" t="inlineStr">
        <is>
          <t>00048</t>
        </is>
      </c>
      <c r="B75" t="inlineStr">
        <is>
          <t>DubCo</t>
        </is>
      </c>
      <c r="C75" t="inlineStr">
        <is>
          <t>CC-150</t>
        </is>
      </c>
      <c r="D75" t="inlineStr">
        <is>
          <t>2026-11</t>
        </is>
      </c>
      <c r="E75">
        <f>SUMIFS(Working!$U:$U,Working!$A:$A,$A75)</f>
        <v>106493.35</v>
      </c>
    </row>
    <row r="76">
      <c r="A76" t="inlineStr">
        <is>
          <t>00051</t>
        </is>
      </c>
      <c r="B76" t="inlineStr">
        <is>
          <t>DubCo</t>
        </is>
      </c>
      <c r="C76" t="inlineStr">
        <is>
          <t>CC-120</t>
        </is>
      </c>
      <c r="D76" t="inlineStr">
        <is>
          <t>2026-11</t>
        </is>
      </c>
      <c r="E76">
        <f>SUMIFS(Working!$U:$U,Working!$A:$A,$A76)</f>
        <v>120248.83</v>
      </c>
    </row>
    <row r="77">
      <c r="A77" t="inlineStr">
        <is>
          <t>00054</t>
        </is>
      </c>
      <c r="B77" t="inlineStr">
        <is>
          <t>DubCo</t>
        </is>
      </c>
      <c r="C77" t="inlineStr">
        <is>
          <t>CC-150</t>
        </is>
      </c>
      <c r="D77" t="inlineStr">
        <is>
          <t>2026-11</t>
        </is>
      </c>
      <c r="E77">
        <f>SUMIFS(Working!$U:$U,Working!$A:$A,$A77)</f>
        <v>94222.95</v>
      </c>
    </row>
    <row r="78">
      <c r="A78" t="inlineStr">
        <is>
          <t>00057</t>
        </is>
      </c>
      <c r="B78" t="inlineStr">
        <is>
          <t>DubCo</t>
        </is>
      </c>
      <c r="C78" t="inlineStr">
        <is>
          <t>CC-120</t>
        </is>
      </c>
      <c r="D78" t="inlineStr">
        <is>
          <t>2026-11</t>
        </is>
      </c>
      <c r="E78">
        <f>SUMIFS(Working!$U:$U,Working!$A:$A,$A78)</f>
        <v>99432.1</v>
      </c>
    </row>
    <row r="79">
      <c r="A79" t="inlineStr">
        <is>
          <t>00060</t>
        </is>
      </c>
      <c r="B79" t="inlineStr">
        <is>
          <t>DubCo</t>
        </is>
      </c>
      <c r="C79" t="inlineStr">
        <is>
          <t>CC-150</t>
        </is>
      </c>
      <c r="D79" t="inlineStr">
        <is>
          <t>2026-11</t>
        </is>
      </c>
      <c r="E79">
        <f>SUMIFS(Working!$U:$U,Working!$A:$A,$A79)</f>
        <v>97509.08</v>
      </c>
    </row>
    <row r="80">
      <c r="A80" t="inlineStr">
        <is>
          <t>00063</t>
        </is>
      </c>
      <c r="B80" t="inlineStr">
        <is>
          <t>DubCo</t>
        </is>
      </c>
      <c r="C80" t="inlineStr">
        <is>
          <t>CC-120</t>
        </is>
      </c>
      <c r="D80" t="inlineStr">
        <is>
          <t>2026-11</t>
        </is>
      </c>
      <c r="E80">
        <f>SUMIFS(Working!$U:$U,Working!$A:$A,$A80)</f>
        <v>79193.23</v>
      </c>
    </row>
    <row r="81">
      <c r="A81" t="inlineStr">
        <is>
          <t>00066</t>
        </is>
      </c>
      <c r="B81" t="inlineStr">
        <is>
          <t>DubCo</t>
        </is>
      </c>
      <c r="C81" t="inlineStr">
        <is>
          <t>CC-150</t>
        </is>
      </c>
      <c r="D81" t="inlineStr">
        <is>
          <t>2026-11</t>
        </is>
      </c>
      <c r="E81">
        <f>SUMIFS(Working!$U:$U,Working!$A:$A,$A81)</f>
        <v>188081.73</v>
      </c>
    </row>
    <row r="82">
      <c r="A82" t="inlineStr">
        <is>
          <t>00069</t>
        </is>
      </c>
      <c r="B82" t="inlineStr">
        <is>
          <t>DubCo</t>
        </is>
      </c>
      <c r="C82" t="inlineStr">
        <is>
          <t>CC-120</t>
        </is>
      </c>
      <c r="D82" t="inlineStr">
        <is>
          <t>2026-11</t>
        </is>
      </c>
      <c r="E82">
        <f>SUMIFS(Working!$U:$U,Working!$A:$A,$A82)</f>
        <v>107279.31</v>
      </c>
    </row>
    <row r="83">
      <c r="A83" t="inlineStr">
        <is>
          <t>00072</t>
        </is>
      </c>
      <c r="B83" t="inlineStr">
        <is>
          <t>DubCo</t>
        </is>
      </c>
      <c r="C83" t="inlineStr">
        <is>
          <t>CC-150</t>
        </is>
      </c>
      <c r="D83" t="inlineStr">
        <is>
          <t>2026-11</t>
        </is>
      </c>
      <c r="E83">
        <f>SUMIFS(Working!$U:$U,Working!$A:$A,$A83)</f>
        <v>731.25</v>
      </c>
    </row>
    <row r="84">
      <c r="A84" t="inlineStr">
        <is>
          <t>00075</t>
        </is>
      </c>
      <c r="B84" t="inlineStr">
        <is>
          <t>DubCo</t>
        </is>
      </c>
      <c r="C84" t="inlineStr">
        <is>
          <t>CC-120</t>
        </is>
      </c>
      <c r="D84" t="inlineStr">
        <is>
          <t>2026-11</t>
        </is>
      </c>
      <c r="E84">
        <f>SUMIFS(Working!$U:$U,Working!$A:$A,$A84)</f>
        <v>122576.17</v>
      </c>
    </row>
    <row r="85">
      <c r="A85" t="inlineStr">
        <is>
          <t>00078</t>
        </is>
      </c>
      <c r="B85" t="inlineStr">
        <is>
          <t>DubCo</t>
        </is>
      </c>
      <c r="C85" t="inlineStr">
        <is>
          <t>CC-150</t>
        </is>
      </c>
      <c r="D85" t="inlineStr">
        <is>
          <t>2026-11</t>
        </is>
      </c>
      <c r="E85">
        <f>SUMIFS(Working!$U:$U,Working!$A:$A,$A85)</f>
        <v>100381.56</v>
      </c>
    </row>
    <row r="86">
      <c r="A86" t="inlineStr">
        <is>
          <t>00081</t>
        </is>
      </c>
      <c r="B86" t="inlineStr">
        <is>
          <t>DubCo</t>
        </is>
      </c>
      <c r="C86" t="inlineStr">
        <is>
          <t>CC-120</t>
        </is>
      </c>
      <c r="D86" t="inlineStr">
        <is>
          <t>2026-11</t>
        </is>
      </c>
      <c r="E86">
        <f>SUMIFS(Working!$U:$U,Working!$A:$A,$A86)</f>
        <v>70958.19</v>
      </c>
    </row>
    <row r="87">
      <c r="A87" t="inlineStr">
        <is>
          <t>00084</t>
        </is>
      </c>
      <c r="B87" t="inlineStr">
        <is>
          <t>DubCo</t>
        </is>
      </c>
      <c r="C87" t="inlineStr">
        <is>
          <t>CC-150</t>
        </is>
      </c>
      <c r="D87" t="inlineStr">
        <is>
          <t>2026-11</t>
        </is>
      </c>
      <c r="E87">
        <f>SUMIFS(Working!$U:$U,Working!$A:$A,$A87)</f>
        <v>53791.68</v>
      </c>
    </row>
    <row r="88">
      <c r="B88" s="1" t="inlineStr">
        <is>
          <t>DubCo subtotal</t>
        </is>
      </c>
      <c r="E88">
        <f>SUBTOTAL(9,E60:E87)</f>
        <v>2628747.32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TODO(kedge): pivot over Allocation, built by Excel. See the proposal, 7.1.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87"/>
  <sheetViews>
    <sheetView workbookViewId="0">
      <selection activeCell="A1" sqref="A1"/>
    </sheetView>
  </sheetViews>
  <sheetFormatPr baseColWidth="8" defaultRowHeight="15"/>
  <sheetData>
    <row r="1">
      <c r="A1" s="1" t="inlineStr">
        <is>
          <t>Run these against the ledger once the fee run is approved.</t>
        </is>
      </c>
    </row>
    <row r="3">
      <c r="A3" s="1" t="inlineStr">
        <is>
          <t>statement</t>
        </is>
      </c>
    </row>
    <row r="4">
      <c r="A4" t="str">
        <f>"INSERT INTO fin.fee_invoice (client_code, period_month, fee_gbp) VALUES ('"&amp;Working!$A19&amp;"', '"&amp;Working!$E19&amp;"', "&amp;Working!$U19&amp;");"</f>
        <v>INSERT INTO fin.fee_invoice (client_code, period_month, fee_gbp) VALUES ('00001', '2026-11', 22501.03);</v>
      </c>
    </row>
    <row r="5">
      <c r="A5" t="str">
        <f>"INSERT INTO fin.fee_invoice (client_code, period_month, fee_gbp) VALUES ('"&amp;Working!$A20&amp;"', '"&amp;Working!$E20&amp;"', "&amp;Working!$U20&amp;");"</f>
        <v>INSERT INTO fin.fee_invoice (client_code, period_month, fee_gbp) VALUES ('00002', '2026-11', 96228.81);</v>
      </c>
    </row>
    <row r="6">
      <c r="A6" t="str">
        <f>"INSERT INTO fin.fee_invoice (client_code, period_month, fee_gbp) VALUES ('"&amp;Working!$A21&amp;"', '"&amp;Working!$E21&amp;"', "&amp;Working!$U21&amp;");"</f>
        <v>INSERT INTO fin.fee_invoice (client_code, period_month, fee_gbp) VALUES ('00003', '2026-11', 84347.46);</v>
      </c>
    </row>
    <row r="7">
      <c r="A7" t="str">
        <f>"INSERT INTO fin.fee_invoice (client_code, period_month, fee_gbp) VALUES ('"&amp;Working!$A22&amp;"', '"&amp;Working!$E22&amp;"', "&amp;Working!$U22&amp;");"</f>
        <v>INSERT INTO fin.fee_invoice (client_code, period_month, fee_gbp) VALUES ('00004', '2026-11', 731.25);</v>
      </c>
    </row>
    <row r="8">
      <c r="A8" t="str">
        <f>"INSERT INTO fin.fee_invoice (client_code, period_month, fee_gbp) VALUES ('"&amp;Working!$A23&amp;"', '"&amp;Working!$E23&amp;"', "&amp;Working!$U23&amp;");"</f>
        <v>INSERT INTO fin.fee_invoice (client_code, period_month, fee_gbp) VALUES ('00005', '2026-11', 96176.95);</v>
      </c>
    </row>
    <row r="9">
      <c r="A9" t="str">
        <f>"INSERT INTO fin.fee_invoice (client_code, period_month, fee_gbp) VALUES ('"&amp;Working!$A24&amp;"', '"&amp;Working!$E24&amp;"', "&amp;Working!$U24&amp;");"</f>
        <v>INSERT INTO fin.fee_invoice (client_code, period_month, fee_gbp) VALUES ('00006', '2026-11', 99011.38);</v>
      </c>
    </row>
    <row r="10">
      <c r="A10" t="str">
        <f>"INSERT INTO fin.fee_invoice (client_code, period_month, fee_gbp) VALUES ('"&amp;Working!$A25&amp;"', '"&amp;Working!$E25&amp;"', "&amp;Working!$U25&amp;");"</f>
        <v>INSERT INTO fin.fee_invoice (client_code, period_month, fee_gbp) VALUES ('00007', '2026-11', 0.0);</v>
      </c>
    </row>
    <row r="11">
      <c r="A11" t="str">
        <f>"INSERT INTO fin.fee_invoice (client_code, period_month, fee_gbp) VALUES ('"&amp;Working!$A26&amp;"', '"&amp;Working!$E26&amp;"', "&amp;Working!$U26&amp;");"</f>
        <v>INSERT INTO fin.fee_invoice (client_code, period_month, fee_gbp) VALUES ('00008', '2026-11', 79741.33);</v>
      </c>
    </row>
    <row r="12">
      <c r="A12" t="str">
        <f>"INSERT INTO fin.fee_invoice (client_code, period_month, fee_gbp) VALUES ('"&amp;Working!$A27&amp;"', '"&amp;Working!$E27&amp;"', "&amp;Working!$U27&amp;");"</f>
        <v>INSERT INTO fin.fee_invoice (client_code, period_month, fee_gbp) VALUES ('00009', '2026-11', 102817.11);</v>
      </c>
    </row>
    <row r="13">
      <c r="A13" t="str">
        <f>"INSERT INTO fin.fee_invoice (client_code, period_month, fee_gbp) VALUES ('"&amp;Working!$A28&amp;"', '"&amp;Working!$E28&amp;"', "&amp;Working!$U28&amp;");"</f>
        <v>INSERT INTO fin.fee_invoice (client_code, period_month, fee_gbp) VALUES ('00010', '2026-11', 98960.79);</v>
      </c>
    </row>
    <row r="14">
      <c r="A14" t="str">
        <f>"INSERT INTO fin.fee_invoice (client_code, period_month, fee_gbp) VALUES ('"&amp;Working!$A29&amp;"', '"&amp;Working!$E29&amp;"', "&amp;Working!$U29&amp;");"</f>
        <v>INSERT INTO fin.fee_invoice (client_code, period_month, fee_gbp) VALUES ('00011', '2026-11', 34393.04);</v>
      </c>
    </row>
    <row r="15">
      <c r="A15" t="str">
        <f>"INSERT INTO fin.fee_invoice (client_code, period_month, fee_gbp) VALUES ('"&amp;Working!$A30&amp;"', '"&amp;Working!$E30&amp;"', "&amp;Working!$U30&amp;");"</f>
        <v>INSERT INTO fin.fee_invoice (client_code, period_month, fee_gbp) VALUES ('00012', '2026-11', 35785.22);</v>
      </c>
    </row>
    <row r="16">
      <c r="A16" t="str">
        <f>"INSERT INTO fin.fee_invoice (client_code, period_month, fee_gbp) VALUES ('"&amp;Working!$A31&amp;"', '"&amp;Working!$E31&amp;"', "&amp;Working!$U31&amp;");"</f>
        <v>INSERT INTO fin.fee_invoice (client_code, period_month, fee_gbp) VALUES ('00013', '2026-11', 36673.07);</v>
      </c>
    </row>
    <row r="17">
      <c r="A17" t="str">
        <f>"INSERT INTO fin.fee_invoice (client_code, period_month, fee_gbp) VALUES ('"&amp;Working!$A32&amp;"', '"&amp;Working!$E32&amp;"', "&amp;Working!$U32&amp;");"</f>
        <v>INSERT INTO fin.fee_invoice (client_code, period_month, fee_gbp) VALUES ('00014', '2026-11', 43813.28);</v>
      </c>
    </row>
    <row r="18">
      <c r="A18" t="str">
        <f>"INSERT INTO fin.fee_invoice (client_code, period_month, fee_gbp) VALUES ('"&amp;Working!$A33&amp;"', '"&amp;Working!$E33&amp;"', "&amp;Working!$U33&amp;");"</f>
        <v>INSERT INTO fin.fee_invoice (client_code, period_month, fee_gbp) VALUES ('00015', '2026-11', 88456.55);</v>
      </c>
    </row>
    <row r="19">
      <c r="A19" t="str">
        <f>"INSERT INTO fin.fee_invoice (client_code, period_month, fee_gbp) VALUES ('"&amp;Working!$A34&amp;"', '"&amp;Working!$E34&amp;"', "&amp;Working!$U34&amp;");"</f>
        <v>INSERT INTO fin.fee_invoice (client_code, period_month, fee_gbp) VALUES ('00016', '2026-11', 200226.77);</v>
      </c>
    </row>
    <row r="20">
      <c r="A20" t="str">
        <f>"INSERT INTO fin.fee_invoice (client_code, period_month, fee_gbp) VALUES ('"&amp;Working!$A35&amp;"', '"&amp;Working!$E35&amp;"', "&amp;Working!$U35&amp;");"</f>
        <v>INSERT INTO fin.fee_invoice (client_code, period_month, fee_gbp) VALUES ('00017', '2026-11', 19330.6);</v>
      </c>
    </row>
    <row r="21">
      <c r="A21" t="str">
        <f>"INSERT INTO fin.fee_invoice (client_code, period_month, fee_gbp) VALUES ('"&amp;Working!$A36&amp;"', '"&amp;Working!$E36&amp;"', "&amp;Working!$U36&amp;");"</f>
        <v>INSERT INTO fin.fee_invoice (client_code, period_month, fee_gbp) VALUES ('00018', '2026-11', 93555.79);</v>
      </c>
    </row>
    <row r="22">
      <c r="A22" t="str">
        <f>"INSERT INTO fin.fee_invoice (client_code, period_month, fee_gbp) VALUES ('"&amp;Working!$A37&amp;"', '"&amp;Working!$E37&amp;"', "&amp;Working!$U37&amp;");"</f>
        <v>INSERT INTO fin.fee_invoice (client_code, period_month, fee_gbp) VALUES ('00019', '2026-11', 68842.27);</v>
      </c>
    </row>
    <row r="23">
      <c r="A23" t="str">
        <f>"INSERT INTO fin.fee_invoice (client_code, period_month, fee_gbp) VALUES ('"&amp;Working!$A38&amp;"', '"&amp;Working!$E38&amp;"', "&amp;Working!$U38&amp;");"</f>
        <v>INSERT INTO fin.fee_invoice (client_code, period_month, fee_gbp) VALUES ('00020', '2026-11', 155130.42);</v>
      </c>
    </row>
    <row r="24">
      <c r="A24" t="str">
        <f>"INSERT INTO fin.fee_invoice (client_code, period_month, fee_gbp) VALUES ('"&amp;Working!$A39&amp;"', '"&amp;Working!$E39&amp;"', "&amp;Working!$U39&amp;");"</f>
        <v>INSERT INTO fin.fee_invoice (client_code, period_month, fee_gbp) VALUES ('00021', '2026-11', 176066.19);</v>
      </c>
    </row>
    <row r="25">
      <c r="A25" t="str">
        <f>"INSERT INTO fin.fee_invoice (client_code, period_month, fee_gbp) VALUES ('"&amp;Working!$A40&amp;"', '"&amp;Working!$E40&amp;"', "&amp;Working!$U40&amp;");"</f>
        <v>INSERT INTO fin.fee_invoice (client_code, period_month, fee_gbp) VALUES ('00022', '2026-11', 93487.51);</v>
      </c>
    </row>
    <row r="26">
      <c r="A26" t="str">
        <f>"INSERT INTO fin.fee_invoice (client_code, period_month, fee_gbp) VALUES ('"&amp;Working!$A41&amp;"', '"&amp;Working!$E41&amp;"', "&amp;Working!$U41&amp;");"</f>
        <v>INSERT INTO fin.fee_invoice (client_code, period_month, fee_gbp) VALUES ('00023', '2026-11', 93988.77);</v>
      </c>
    </row>
    <row r="27">
      <c r="A27" t="str">
        <f>"INSERT INTO fin.fee_invoice (client_code, period_month, fee_gbp) VALUES ('"&amp;Working!$A42&amp;"', '"&amp;Working!$E42&amp;"', "&amp;Working!$U42&amp;");"</f>
        <v>INSERT INTO fin.fee_invoice (client_code, period_month, fee_gbp) VALUES ('00024', '2026-11', 98329.2);</v>
      </c>
    </row>
    <row r="28">
      <c r="A28" t="str">
        <f>"INSERT INTO fin.fee_invoice (client_code, period_month, fee_gbp) VALUES ('"&amp;Working!$A43&amp;"', '"&amp;Working!$E43&amp;"', "&amp;Working!$U43&amp;");"</f>
        <v>INSERT INTO fin.fee_invoice (client_code, period_month, fee_gbp) VALUES ('00025', '2026-11', 61513.2);</v>
      </c>
    </row>
    <row r="29">
      <c r="A29" t="str">
        <f>"INSERT INTO fin.fee_invoice (client_code, period_month, fee_gbp) VALUES ('"&amp;Working!$A44&amp;"', '"&amp;Working!$E44&amp;"', "&amp;Working!$U44&amp;");"</f>
        <v>INSERT INTO fin.fee_invoice (client_code, period_month, fee_gbp) VALUES ('00026', '2026-11', 205996.2);</v>
      </c>
    </row>
    <row r="30">
      <c r="A30" t="str">
        <f>"INSERT INTO fin.fee_invoice (client_code, period_month, fee_gbp) VALUES ('"&amp;Working!$A45&amp;"', '"&amp;Working!$E45&amp;"', "&amp;Working!$U45&amp;");"</f>
        <v>INSERT INTO fin.fee_invoice (client_code, period_month, fee_gbp) VALUES ('00027', '2026-11', 75532.16);</v>
      </c>
    </row>
    <row r="31">
      <c r="A31" t="str">
        <f>"INSERT INTO fin.fee_invoice (client_code, period_month, fee_gbp) VALUES ('"&amp;Working!$A46&amp;"', '"&amp;Working!$E46&amp;"', "&amp;Working!$U46&amp;");"</f>
        <v>INSERT INTO fin.fee_invoice (client_code, period_month, fee_gbp) VALUES ('00028', '2026-11', 731.25);</v>
      </c>
    </row>
    <row r="32">
      <c r="A32" t="str">
        <f>"INSERT INTO fin.fee_invoice (client_code, period_month, fee_gbp) VALUES ('"&amp;Working!$A47&amp;"', '"&amp;Working!$E47&amp;"', "&amp;Working!$U47&amp;");"</f>
        <v>INSERT INTO fin.fee_invoice (client_code, period_month, fee_gbp) VALUES ('00029', '2026-11', 138822.86);</v>
      </c>
    </row>
    <row r="33">
      <c r="A33" t="str">
        <f>"INSERT INTO fin.fee_invoice (client_code, period_month, fee_gbp) VALUES ('"&amp;Working!$A48&amp;"', '"&amp;Working!$E48&amp;"', "&amp;Working!$U48&amp;");"</f>
        <v>INSERT INTO fin.fee_invoice (client_code, period_month, fee_gbp) VALUES ('00030', '2026-11', 93369.64);</v>
      </c>
    </row>
    <row r="34">
      <c r="A34" t="str">
        <f>"INSERT INTO fin.fee_invoice (client_code, period_month, fee_gbp) VALUES ('"&amp;Working!$A49&amp;"', '"&amp;Working!$E49&amp;"', "&amp;Working!$U49&amp;");"</f>
        <v>INSERT INTO fin.fee_invoice (client_code, period_month, fee_gbp) VALUES ('00031', '2026-11', 150539.44);</v>
      </c>
    </row>
    <row r="35">
      <c r="A35" t="str">
        <f>"INSERT INTO fin.fee_invoice (client_code, period_month, fee_gbp) VALUES ('"&amp;Working!$A50&amp;"', '"&amp;Working!$E50&amp;"', "&amp;Working!$U50&amp;");"</f>
        <v>INSERT INTO fin.fee_invoice (client_code, period_month, fee_gbp) VALUES ('00032', '2026-11', 91707.8);</v>
      </c>
    </row>
    <row r="36">
      <c r="A36" t="str">
        <f>"INSERT INTO fin.fee_invoice (client_code, period_month, fee_gbp) VALUES ('"&amp;Working!$A51&amp;"', '"&amp;Working!$E51&amp;"', "&amp;Working!$U51&amp;");"</f>
        <v>INSERT INTO fin.fee_invoice (client_code, period_month, fee_gbp) VALUES ('00033', '2026-11', 122629.26);</v>
      </c>
    </row>
    <row r="37">
      <c r="A37" t="str">
        <f>"INSERT INTO fin.fee_invoice (client_code, period_month, fee_gbp) VALUES ('"&amp;Working!$A52&amp;"', '"&amp;Working!$E52&amp;"', "&amp;Working!$U52&amp;");"</f>
        <v>INSERT INTO fin.fee_invoice (client_code, period_month, fee_gbp) VALUES ('00034', '2026-11', 38800.28);</v>
      </c>
    </row>
    <row r="38">
      <c r="A38" t="str">
        <f>"INSERT INTO fin.fee_invoice (client_code, period_month, fee_gbp) VALUES ('"&amp;Working!$A53&amp;"', '"&amp;Working!$E53&amp;"', "&amp;Working!$U53&amp;");"</f>
        <v>INSERT INTO fin.fee_invoice (client_code, period_month, fee_gbp) VALUES ('00035', '2026-11', 132373.42);</v>
      </c>
    </row>
    <row r="39">
      <c r="A39" t="str">
        <f>"INSERT INTO fin.fee_invoice (client_code, period_month, fee_gbp) VALUES ('"&amp;Working!$A54&amp;"', '"&amp;Working!$E54&amp;"', "&amp;Working!$U54&amp;");"</f>
        <v>INSERT INTO fin.fee_invoice (client_code, period_month, fee_gbp) VALUES ('00036', '2026-11', 139969.12);</v>
      </c>
    </row>
    <row r="40">
      <c r="A40" t="str">
        <f>"INSERT INTO fin.fee_invoice (client_code, period_month, fee_gbp) VALUES ('"&amp;Working!$A55&amp;"', '"&amp;Working!$E55&amp;"', "&amp;Working!$U55&amp;");"</f>
        <v>INSERT INTO fin.fee_invoice (client_code, period_month, fee_gbp) VALUES ('00037', '2026-11', 38668.99);</v>
      </c>
    </row>
    <row r="41">
      <c r="A41" t="str">
        <f>"INSERT INTO fin.fee_invoice (client_code, period_month, fee_gbp) VALUES ('"&amp;Working!$A56&amp;"', '"&amp;Working!$E56&amp;"', "&amp;Working!$U56&amp;");"</f>
        <v>INSERT INTO fin.fee_invoice (client_code, period_month, fee_gbp) VALUES ('00038', '2026-11', 98373.8);</v>
      </c>
    </row>
    <row r="42">
      <c r="A42" t="str">
        <f>"INSERT INTO fin.fee_invoice (client_code, period_month, fee_gbp) VALUES ('"&amp;Working!$A57&amp;"', '"&amp;Working!$E57&amp;"', "&amp;Working!$U57&amp;");"</f>
        <v>INSERT INTO fin.fee_invoice (client_code, period_month, fee_gbp) VALUES ('00039', '2026-11', 26802.96);</v>
      </c>
    </row>
    <row r="43">
      <c r="A43" t="str">
        <f>"INSERT INTO fin.fee_invoice (client_code, period_month, fee_gbp) VALUES ('"&amp;Working!$A58&amp;"', '"&amp;Working!$E58&amp;"', "&amp;Working!$U58&amp;");"</f>
        <v>INSERT INTO fin.fee_invoice (client_code, period_month, fee_gbp) VALUES ('00040', '2026-11', 107057.52);</v>
      </c>
    </row>
    <row r="44">
      <c r="A44" t="str">
        <f>"INSERT INTO fin.fee_invoice (client_code, period_month, fee_gbp) VALUES ('"&amp;Working!$A59&amp;"', '"&amp;Working!$E59&amp;"', "&amp;Working!$U59&amp;");"</f>
        <v>INSERT INTO fin.fee_invoice (client_code, period_month, fee_gbp) VALUES ('00041', '2026-11', 18500.0);</v>
      </c>
    </row>
    <row r="45">
      <c r="A45" t="str">
        <f>"INSERT INTO fin.fee_invoice (client_code, period_month, fee_gbp) VALUES ('"&amp;Working!$A60&amp;"', '"&amp;Working!$E60&amp;"', "&amp;Working!$U60&amp;");"</f>
        <v>INSERT INTO fin.fee_invoice (client_code, period_month, fee_gbp) VALUES ('00042', '2026-11', 46476.43);</v>
      </c>
    </row>
    <row r="46">
      <c r="A46" t="str">
        <f>"INSERT INTO fin.fee_invoice (client_code, period_month, fee_gbp) VALUES ('"&amp;Working!$A61&amp;"', '"&amp;Working!$E61&amp;"', "&amp;Working!$U61&amp;");"</f>
        <v>INSERT INTO fin.fee_invoice (client_code, period_month, fee_gbp) VALUES ('00043', '2026-11', 87322.71);</v>
      </c>
    </row>
    <row r="47">
      <c r="A47" t="str">
        <f>"INSERT INTO fin.fee_invoice (client_code, period_month, fee_gbp) VALUES ('"&amp;Working!$A62&amp;"', '"&amp;Working!$E62&amp;"', "&amp;Working!$U62&amp;");"</f>
        <v>INSERT INTO fin.fee_invoice (client_code, period_month, fee_gbp) VALUES ('00044', '2026-11', 106490.96);</v>
      </c>
    </row>
    <row r="48">
      <c r="A48" t="str">
        <f>"INSERT INTO fin.fee_invoice (client_code, period_month, fee_gbp) VALUES ('"&amp;Working!$A63&amp;"', '"&amp;Working!$E63&amp;"', "&amp;Working!$U63&amp;");"</f>
        <v>INSERT INTO fin.fee_invoice (client_code, period_month, fee_gbp) VALUES ('00045', '2026-11', 104699.42);</v>
      </c>
    </row>
    <row r="49">
      <c r="A49" t="str">
        <f>"INSERT INTO fin.fee_invoice (client_code, period_month, fee_gbp) VALUES ('"&amp;Working!$A64&amp;"', '"&amp;Working!$E64&amp;"', "&amp;Working!$U64&amp;");"</f>
        <v>INSERT INTO fin.fee_invoice (client_code, period_month, fee_gbp) VALUES ('00046', '2026-11', 67778.85);</v>
      </c>
    </row>
    <row r="50">
      <c r="A50" t="str">
        <f>"INSERT INTO fin.fee_invoice (client_code, period_month, fee_gbp) VALUES ('"&amp;Working!$A65&amp;"', '"&amp;Working!$E65&amp;"', "&amp;Working!$U65&amp;");"</f>
        <v>INSERT INTO fin.fee_invoice (client_code, period_month, fee_gbp) VALUES ('00047', '2026-11', 101453.43);</v>
      </c>
    </row>
    <row r="51">
      <c r="A51" t="str">
        <f>"INSERT INTO fin.fee_invoice (client_code, period_month, fee_gbp) VALUES ('"&amp;Working!$A66&amp;"', '"&amp;Working!$E66&amp;"', "&amp;Working!$U66&amp;");"</f>
        <v>INSERT INTO fin.fee_invoice (client_code, period_month, fee_gbp) VALUES ('00048', '2026-11', 106493.35);</v>
      </c>
    </row>
    <row r="52">
      <c r="A52" t="str">
        <f>"INSERT INTO fin.fee_invoice (client_code, period_month, fee_gbp) VALUES ('"&amp;Working!$A67&amp;"', '"&amp;Working!$E67&amp;"', "&amp;Working!$U67&amp;");"</f>
        <v>INSERT INTO fin.fee_invoice (client_code, period_month, fee_gbp) VALUES ('00049', '2026-11', 112189.37);</v>
      </c>
    </row>
    <row r="53">
      <c r="A53" t="str">
        <f>"INSERT INTO fin.fee_invoice (client_code, period_month, fee_gbp) VALUES ('"&amp;Working!$A68&amp;"', '"&amp;Working!$E68&amp;"', "&amp;Working!$U68&amp;");"</f>
        <v>INSERT INTO fin.fee_invoice (client_code, period_month, fee_gbp) VALUES ('00050', '2026-11', 96683.59);</v>
      </c>
    </row>
    <row r="54">
      <c r="A54" t="str">
        <f>"INSERT INTO fin.fee_invoice (client_code, period_month, fee_gbp) VALUES ('"&amp;Working!$A69&amp;"', '"&amp;Working!$E69&amp;"', "&amp;Working!$U69&amp;");"</f>
        <v>INSERT INTO fin.fee_invoice (client_code, period_month, fee_gbp) VALUES ('00051', '2026-11', 120248.83);</v>
      </c>
    </row>
    <row r="55">
      <c r="A55" t="str">
        <f>"INSERT INTO fin.fee_invoice (client_code, period_month, fee_gbp) VALUES ('"&amp;Working!$A70&amp;"', '"&amp;Working!$E70&amp;"', "&amp;Working!$U70&amp;");"</f>
        <v>INSERT INTO fin.fee_invoice (client_code, period_month, fee_gbp) VALUES ('00052', '2026-11', 105314.82);</v>
      </c>
    </row>
    <row r="56">
      <c r="A56" t="str">
        <f>"INSERT INTO fin.fee_invoice (client_code, period_month, fee_gbp) VALUES ('"&amp;Working!$A71&amp;"', '"&amp;Working!$E71&amp;"', "&amp;Working!$U71&amp;");"</f>
        <v>INSERT INTO fin.fee_invoice (client_code, period_month, fee_gbp) VALUES ('00053', '2026-11', 66181.1);</v>
      </c>
    </row>
    <row r="57">
      <c r="A57" t="str">
        <f>"INSERT INTO fin.fee_invoice (client_code, period_month, fee_gbp) VALUES ('"&amp;Working!$A72&amp;"', '"&amp;Working!$E72&amp;"', "&amp;Working!$U72&amp;");"</f>
        <v>INSERT INTO fin.fee_invoice (client_code, period_month, fee_gbp) VALUES ('00054', '2026-11', 94222.95);</v>
      </c>
    </row>
    <row r="58">
      <c r="A58" t="str">
        <f>"INSERT INTO fin.fee_invoice (client_code, period_month, fee_gbp) VALUES ('"&amp;Working!$A73&amp;"', '"&amp;Working!$E73&amp;"', "&amp;Working!$U73&amp;");"</f>
        <v>INSERT INTO fin.fee_invoice (client_code, period_month, fee_gbp) VALUES ('00055', '2026-11', 137846.52);</v>
      </c>
    </row>
    <row r="59">
      <c r="A59" t="str">
        <f>"INSERT INTO fin.fee_invoice (client_code, period_month, fee_gbp) VALUES ('"&amp;Working!$A74&amp;"', '"&amp;Working!$E74&amp;"', "&amp;Working!$U74&amp;");"</f>
        <v>INSERT INTO fin.fee_invoice (client_code, period_month, fee_gbp) VALUES ('00056', '2026-11', 132762.5);</v>
      </c>
    </row>
    <row r="60">
      <c r="A60" t="str">
        <f>"INSERT INTO fin.fee_invoice (client_code, period_month, fee_gbp) VALUES ('"&amp;Working!$A75&amp;"', '"&amp;Working!$E75&amp;"', "&amp;Working!$U75&amp;");"</f>
        <v>INSERT INTO fin.fee_invoice (client_code, period_month, fee_gbp) VALUES ('00057', '2026-11', 99432.1);</v>
      </c>
    </row>
    <row r="61">
      <c r="A61" t="str">
        <f>"INSERT INTO fin.fee_invoice (client_code, period_month, fee_gbp) VALUES ('"&amp;Working!$A76&amp;"', '"&amp;Working!$E76&amp;"', "&amp;Working!$U76&amp;");"</f>
        <v>INSERT INTO fin.fee_invoice (client_code, period_month, fee_gbp) VALUES ('00058', '2026-11', 105232.63);</v>
      </c>
    </row>
    <row r="62">
      <c r="A62" t="str">
        <f>"INSERT INTO fin.fee_invoice (client_code, period_month, fee_gbp) VALUES ('"&amp;Working!$A77&amp;"', '"&amp;Working!$E77&amp;"', "&amp;Working!$U77&amp;");"</f>
        <v>INSERT INTO fin.fee_invoice (client_code, period_month, fee_gbp) VALUES ('00059', '2026-11', 78962.6);</v>
      </c>
    </row>
    <row r="63">
      <c r="A63" t="str">
        <f>"INSERT INTO fin.fee_invoice (client_code, period_month, fee_gbp) VALUES ('"&amp;Working!$A78&amp;"', '"&amp;Working!$E78&amp;"', "&amp;Working!$U78&amp;");"</f>
        <v>INSERT INTO fin.fee_invoice (client_code, period_month, fee_gbp) VALUES ('00060', '2026-11', 97509.08);</v>
      </c>
    </row>
    <row r="64">
      <c r="A64" t="str">
        <f>"INSERT INTO fin.fee_invoice (client_code, period_month, fee_gbp) VALUES ('"&amp;Working!$A79&amp;"', '"&amp;Working!$E79&amp;"', "&amp;Working!$U79&amp;");"</f>
        <v>INSERT INTO fin.fee_invoice (client_code, period_month, fee_gbp) VALUES ('00061', '2026-11', 127080.3);</v>
      </c>
    </row>
    <row r="65">
      <c r="A65" t="str">
        <f>"INSERT INTO fin.fee_invoice (client_code, period_month, fee_gbp) VALUES ('"&amp;Working!$A80&amp;"', '"&amp;Working!$E80&amp;"', "&amp;Working!$U80&amp;");"</f>
        <v>INSERT INTO fin.fee_invoice (client_code, period_month, fee_gbp) VALUES ('00062', '2026-11', 4220.75);</v>
      </c>
    </row>
    <row r="66">
      <c r="A66" t="str">
        <f>"INSERT INTO fin.fee_invoice (client_code, period_month, fee_gbp) VALUES ('"&amp;Working!$A81&amp;"', '"&amp;Working!$E81&amp;"', "&amp;Working!$U81&amp;");"</f>
        <v>INSERT INTO fin.fee_invoice (client_code, period_month, fee_gbp) VALUES ('00063', '2026-11', 79193.23);</v>
      </c>
    </row>
    <row r="67">
      <c r="A67" t="str">
        <f>"INSERT INTO fin.fee_invoice (client_code, period_month, fee_gbp) VALUES ('"&amp;Working!$A82&amp;"', '"&amp;Working!$E82&amp;"', "&amp;Working!$U82&amp;");"</f>
        <v>INSERT INTO fin.fee_invoice (client_code, period_month, fee_gbp) VALUES ('00064', '2026-11', 60632.13);</v>
      </c>
    </row>
    <row r="68">
      <c r="A68" t="str">
        <f>"INSERT INTO fin.fee_invoice (client_code, period_month, fee_gbp) VALUES ('"&amp;Working!$A83&amp;"', '"&amp;Working!$E83&amp;"', "&amp;Working!$U83&amp;");"</f>
        <v>INSERT INTO fin.fee_invoice (client_code, period_month, fee_gbp) VALUES ('00065', '2026-11', 135588.25);</v>
      </c>
    </row>
    <row r="69">
      <c r="A69" t="str">
        <f>"INSERT INTO fin.fee_invoice (client_code, period_month, fee_gbp) VALUES ('"&amp;Working!$A84&amp;"', '"&amp;Working!$E84&amp;"', "&amp;Working!$U84&amp;");"</f>
        <v>INSERT INTO fin.fee_invoice (client_code, period_month, fee_gbp) VALUES ('00066', '2026-11', 188081.73);</v>
      </c>
    </row>
    <row r="70">
      <c r="A70" t="str">
        <f>"INSERT INTO fin.fee_invoice (client_code, period_month, fee_gbp) VALUES ('"&amp;Working!$A85&amp;"', '"&amp;Working!$E85&amp;"', "&amp;Working!$U85&amp;");"</f>
        <v>INSERT INTO fin.fee_invoice (client_code, period_month, fee_gbp) VALUES ('00067', '2026-11', 76653.73);</v>
      </c>
    </row>
    <row r="71">
      <c r="A71" t="str">
        <f>"INSERT INTO fin.fee_invoice (client_code, period_month, fee_gbp) VALUES ('"&amp;Working!$A86&amp;"', '"&amp;Working!$E86&amp;"', "&amp;Working!$U86&amp;");"</f>
        <v>INSERT INTO fin.fee_invoice (client_code, period_month, fee_gbp) VALUES ('00068', '2026-11', 62547.06);</v>
      </c>
    </row>
    <row r="72">
      <c r="A72" t="str">
        <f>"INSERT INTO fin.fee_invoice (client_code, period_month, fee_gbp) VALUES ('"&amp;Working!$A87&amp;"', '"&amp;Working!$E87&amp;"', "&amp;Working!$U87&amp;");"</f>
        <v>INSERT INTO fin.fee_invoice (client_code, period_month, fee_gbp) VALUES ('00069', '2026-11', 107279.31);</v>
      </c>
    </row>
    <row r="73">
      <c r="A73" t="str">
        <f>"INSERT INTO fin.fee_invoice (client_code, period_month, fee_gbp) VALUES ('"&amp;Working!$A88&amp;"', '"&amp;Working!$E88&amp;"', "&amp;Working!$U88&amp;");"</f>
        <v>INSERT INTO fin.fee_invoice (client_code, period_month, fee_gbp) VALUES ('00070', '2026-11', 112918.24);</v>
      </c>
    </row>
    <row r="74">
      <c r="A74" t="str">
        <f>"INSERT INTO fin.fee_invoice (client_code, period_month, fee_gbp) VALUES ('"&amp;Working!$A89&amp;"', '"&amp;Working!$E89&amp;"', "&amp;Working!$U89&amp;");"</f>
        <v>INSERT INTO fin.fee_invoice (client_code, period_month, fee_gbp) VALUES ('00071', '2026-11', 188805.48);</v>
      </c>
    </row>
    <row r="75">
      <c r="A75" t="str">
        <f>"INSERT INTO fin.fee_invoice (client_code, period_month, fee_gbp) VALUES ('"&amp;Working!$A90&amp;"', '"&amp;Working!$E90&amp;"', "&amp;Working!$U90&amp;");"</f>
        <v>INSERT INTO fin.fee_invoice (client_code, period_month, fee_gbp) VALUES ('00072', '2026-11', 731.25);</v>
      </c>
    </row>
    <row r="76">
      <c r="A76" t="str">
        <f>"INSERT INTO fin.fee_invoice (client_code, period_month, fee_gbp) VALUES ('"&amp;Working!$A91&amp;"', '"&amp;Working!$E91&amp;"', "&amp;Working!$U91&amp;");"</f>
        <v>INSERT INTO fin.fee_invoice (client_code, period_month, fee_gbp) VALUES ('00073', '2026-11', 67174.99);</v>
      </c>
    </row>
    <row r="77">
      <c r="A77" t="str">
        <f>"INSERT INTO fin.fee_invoice (client_code, period_month, fee_gbp) VALUES ('"&amp;Working!$A92&amp;"', '"&amp;Working!$E92&amp;"', "&amp;Working!$U92&amp;");"</f>
        <v>INSERT INTO fin.fee_invoice (client_code, period_month, fee_gbp) VALUES ('00074', '2026-11', 91654.23);</v>
      </c>
    </row>
    <row r="78">
      <c r="A78" t="str">
        <f>"INSERT INTO fin.fee_invoice (client_code, period_month, fee_gbp) VALUES ('"&amp;Working!$A93&amp;"', '"&amp;Working!$E93&amp;"', "&amp;Working!$U93&amp;");"</f>
        <v>INSERT INTO fin.fee_invoice (client_code, period_month, fee_gbp) VALUES ('00075', '2026-11', 122576.17);</v>
      </c>
    </row>
    <row r="79">
      <c r="A79" t="str">
        <f>"INSERT INTO fin.fee_invoice (client_code, period_month, fee_gbp) VALUES ('"&amp;Working!$A94&amp;"', '"&amp;Working!$E94&amp;"', "&amp;Working!$U94&amp;");"</f>
        <v>INSERT INTO fin.fee_invoice (client_code, period_month, fee_gbp) VALUES ('00076', '2026-11', 207002.12);</v>
      </c>
    </row>
    <row r="80">
      <c r="A80" t="str">
        <f>"INSERT INTO fin.fee_invoice (client_code, period_month, fee_gbp) VALUES ('"&amp;Working!$A95&amp;"', '"&amp;Working!$E95&amp;"', "&amp;Working!$U95&amp;");"</f>
        <v>INSERT INTO fin.fee_invoice (client_code, period_month, fee_gbp) VALUES ('00077', '2026-11', 12696.04);</v>
      </c>
    </row>
    <row r="81">
      <c r="A81" t="str">
        <f>"INSERT INTO fin.fee_invoice (client_code, period_month, fee_gbp) VALUES ('"&amp;Working!$A96&amp;"', '"&amp;Working!$E96&amp;"', "&amp;Working!$U96&amp;");"</f>
        <v>INSERT INTO fin.fee_invoice (client_code, period_month, fee_gbp) VALUES ('00078', '2026-11', 100381.56);</v>
      </c>
    </row>
    <row r="82">
      <c r="A82" t="str">
        <f>"INSERT INTO fin.fee_invoice (client_code, period_month, fee_gbp) VALUES ('"&amp;Working!$A97&amp;"', '"&amp;Working!$E97&amp;"', "&amp;Working!$U97&amp;");"</f>
        <v>INSERT INTO fin.fee_invoice (client_code, period_month, fee_gbp) VALUES ('00079', '2026-11', 139064.76);</v>
      </c>
    </row>
    <row r="83">
      <c r="A83" t="str">
        <f>"INSERT INTO fin.fee_invoice (client_code, period_month, fee_gbp) VALUES ('"&amp;Working!$A98&amp;"', '"&amp;Working!$E98&amp;"', "&amp;Working!$U98&amp;");"</f>
        <v>INSERT INTO fin.fee_invoice (client_code, period_month, fee_gbp) VALUES ('00080', '2026-11', 117783.51);</v>
      </c>
    </row>
    <row r="84">
      <c r="A84" t="str">
        <f>"INSERT INTO fin.fee_invoice (client_code, period_month, fee_gbp) VALUES ('"&amp;Working!$A99&amp;"', '"&amp;Working!$E99&amp;"', "&amp;Working!$U99&amp;");"</f>
        <v>INSERT INTO fin.fee_invoice (client_code, period_month, fee_gbp) VALUES ('00081', '2026-11', 70958.19);</v>
      </c>
    </row>
    <row r="85">
      <c r="A85" t="str">
        <f>"INSERT INTO fin.fee_invoice (client_code, period_month, fee_gbp) VALUES ('"&amp;Working!$A100&amp;"', '"&amp;Working!$E100&amp;"', "&amp;Working!$U100&amp;");"</f>
        <v>INSERT INTO fin.fee_invoice (client_code, period_month, fee_gbp) VALUES ('00082', '2026-11', 61815.46);</v>
      </c>
    </row>
    <row r="86">
      <c r="A86" t="str">
        <f>"INSERT INTO fin.fee_invoice (client_code, period_month, fee_gbp) VALUES ('"&amp;Working!$A101&amp;"', '"&amp;Working!$E101&amp;"', "&amp;Working!$U101&amp;");"</f>
        <v>INSERT INTO fin.fee_invoice (client_code, period_month, fee_gbp) VALUES ('00083', '2026-11', 100184.31);</v>
      </c>
    </row>
    <row r="87">
      <c r="A87" t="str">
        <f>"INSERT INTO fin.fee_invoice (client_code, period_month, fee_gbp) VALUES ('"&amp;Working!$A102&amp;"', '"&amp;Working!$E102&amp;"', "&amp;Working!$U102&amp;");"</f>
        <v>INSERT INTO fin.fee_invoice (client_code, period_month, fee_gbp) VALUES ('00084', '2026-11', 53791.68);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workbookViewId="0">
      <selection activeCell="A1" sqref="A1"/>
    </sheetView>
  </sheetViews>
  <sheetFormatPr baseColWidth="8" defaultRowHeight="15"/>
  <sheetData>
    <row r="1">
      <c r="A1" s="1" t="inlineStr">
        <is>
          <t>client_code</t>
        </is>
      </c>
      <c r="B1" s="1" t="inlineStr">
        <is>
          <t>client_name</t>
        </is>
      </c>
      <c r="C1" s="1" t="inlineStr">
        <is>
          <t>legal_entity</t>
        </is>
      </c>
      <c r="D1" s="1" t="inlineStr">
        <is>
          <t>cost_centre</t>
        </is>
      </c>
      <c r="E1" s="1" t="inlineStr">
        <is>
          <t>mandate</t>
        </is>
      </c>
      <c r="F1" s="1" t="inlineStr">
        <is>
          <t>onboarded</t>
        </is>
      </c>
    </row>
    <row r="2">
      <c r="A2" t="inlineStr">
        <is>
          <t>00001</t>
        </is>
      </c>
      <c r="B2" t="inlineStr">
        <is>
          <t>Client 001 Holdings</t>
        </is>
      </c>
      <c r="C2" t="inlineStr">
        <is>
          <t>LuxCo</t>
        </is>
      </c>
      <c r="D2" t="inlineStr">
        <is>
          <t>CC-100</t>
        </is>
      </c>
      <c r="E2" t="inlineStr">
        <is>
          <t xml:space="preserve">  balanced </t>
        </is>
      </c>
      <c r="F2" s="3" t="n">
        <v>45352</v>
      </c>
    </row>
    <row r="3">
      <c r="A3" t="inlineStr">
        <is>
          <t>00002</t>
        </is>
      </c>
      <c r="B3" t="inlineStr">
        <is>
          <t>Client 002 Holdings</t>
        </is>
      </c>
      <c r="C3" t="inlineStr">
        <is>
          <t>UKCo</t>
        </is>
      </c>
      <c r="D3" t="inlineStr">
        <is>
          <t>CC-110</t>
        </is>
      </c>
      <c r="E3" t="inlineStr">
        <is>
          <t>equity</t>
        </is>
      </c>
      <c r="F3" s="3" t="n">
        <v>45353</v>
      </c>
    </row>
    <row r="4">
      <c r="A4" t="inlineStr">
        <is>
          <t>00003</t>
        </is>
      </c>
      <c r="B4" t="inlineStr">
        <is>
          <t>Client 003 Holdings</t>
        </is>
      </c>
      <c r="C4" t="inlineStr">
        <is>
          <t>DubCo</t>
        </is>
      </c>
      <c r="D4" t="inlineStr">
        <is>
          <t>CC-120</t>
        </is>
      </c>
      <c r="E4" t="inlineStr">
        <is>
          <t xml:space="preserve"> fixed income</t>
        </is>
      </c>
      <c r="F4" s="3" t="n">
        <v>45354</v>
      </c>
    </row>
    <row r="5">
      <c r="A5" t="inlineStr">
        <is>
          <t>00004</t>
        </is>
      </c>
      <c r="B5" t="inlineStr">
        <is>
          <t>Client 004 Holdings</t>
        </is>
      </c>
      <c r="C5" t="inlineStr">
        <is>
          <t>LuxCo</t>
        </is>
      </c>
      <c r="D5" t="inlineStr">
        <is>
          <t>CC-130</t>
        </is>
      </c>
      <c r="E5" t="inlineStr">
        <is>
          <t xml:space="preserve">  balanced </t>
        </is>
      </c>
      <c r="F5" s="3" t="n">
        <v>45355</v>
      </c>
    </row>
    <row r="6">
      <c r="A6" t="inlineStr">
        <is>
          <t>00005</t>
        </is>
      </c>
      <c r="B6" t="inlineStr">
        <is>
          <t>Client 005 Holdings</t>
        </is>
      </c>
      <c r="C6" t="inlineStr">
        <is>
          <t>UKCo</t>
        </is>
      </c>
      <c r="D6" t="inlineStr">
        <is>
          <t>CC-140</t>
        </is>
      </c>
      <c r="E6" t="inlineStr">
        <is>
          <t>equity</t>
        </is>
      </c>
      <c r="F6" s="3" t="n">
        <v>45356</v>
      </c>
    </row>
    <row r="7">
      <c r="A7" t="inlineStr">
        <is>
          <t>00006</t>
        </is>
      </c>
      <c r="B7" t="inlineStr">
        <is>
          <t>Client 006 Holdings</t>
        </is>
      </c>
      <c r="C7" t="inlineStr">
        <is>
          <t>DubCo</t>
        </is>
      </c>
      <c r="D7" t="inlineStr">
        <is>
          <t>CC-150</t>
        </is>
      </c>
      <c r="E7" t="inlineStr">
        <is>
          <t xml:space="preserve"> fixed income</t>
        </is>
      </c>
      <c r="F7" s="3" t="n">
        <v>45357</v>
      </c>
    </row>
    <row r="8">
      <c r="A8" t="inlineStr">
        <is>
          <t>00007</t>
        </is>
      </c>
      <c r="B8" t="inlineStr">
        <is>
          <t>Client 007 Holdings</t>
        </is>
      </c>
      <c r="C8" t="inlineStr">
        <is>
          <t>LuxCo</t>
        </is>
      </c>
      <c r="D8" t="inlineStr">
        <is>
          <t>CC-100</t>
        </is>
      </c>
      <c r="E8" t="inlineStr">
        <is>
          <t xml:space="preserve">  balanced </t>
        </is>
      </c>
      <c r="F8" s="3" t="n">
        <v>45358</v>
      </c>
    </row>
    <row r="9">
      <c r="A9" t="inlineStr">
        <is>
          <t>00008</t>
        </is>
      </c>
      <c r="B9" t="inlineStr">
        <is>
          <t>Client 008 Holdings</t>
        </is>
      </c>
      <c r="C9" t="inlineStr">
        <is>
          <t>UKCo</t>
        </is>
      </c>
      <c r="D9" t="inlineStr">
        <is>
          <t>CC-110</t>
        </is>
      </c>
      <c r="E9" t="inlineStr">
        <is>
          <t>equity</t>
        </is>
      </c>
      <c r="F9" s="3" t="n">
        <v>45359</v>
      </c>
    </row>
    <row r="10">
      <c r="A10" t="inlineStr">
        <is>
          <t>00009</t>
        </is>
      </c>
      <c r="B10" t="inlineStr">
        <is>
          <t>Client 009 Holdings</t>
        </is>
      </c>
      <c r="C10" t="inlineStr">
        <is>
          <t>DubCo</t>
        </is>
      </c>
      <c r="D10" t="inlineStr">
        <is>
          <t>CC-120</t>
        </is>
      </c>
      <c r="E10" t="inlineStr">
        <is>
          <t xml:space="preserve"> fixed income</t>
        </is>
      </c>
      <c r="F10" s="3" t="n">
        <v>45360</v>
      </c>
    </row>
    <row r="11">
      <c r="A11" t="inlineStr">
        <is>
          <t>00010</t>
        </is>
      </c>
      <c r="B11" t="inlineStr">
        <is>
          <t>Client 010 Holdings</t>
        </is>
      </c>
      <c r="C11" t="inlineStr">
        <is>
          <t>LuxCo</t>
        </is>
      </c>
      <c r="D11" t="inlineStr">
        <is>
          <t>CC-130</t>
        </is>
      </c>
      <c r="E11" t="inlineStr">
        <is>
          <t xml:space="preserve">  balanced </t>
        </is>
      </c>
      <c r="F11" s="3" t="n">
        <v>45361</v>
      </c>
    </row>
    <row r="12">
      <c r="A12" t="inlineStr">
        <is>
          <t>00011</t>
        </is>
      </c>
      <c r="B12" t="inlineStr">
        <is>
          <t>Client 011 Holdings</t>
        </is>
      </c>
      <c r="C12" t="inlineStr">
        <is>
          <t>UKCo</t>
        </is>
      </c>
      <c r="D12" t="inlineStr">
        <is>
          <t>CC-140</t>
        </is>
      </c>
      <c r="E12" t="inlineStr">
        <is>
          <t>equity</t>
        </is>
      </c>
      <c r="F12" s="3" t="n">
        <v>45362</v>
      </c>
    </row>
    <row r="13">
      <c r="A13" t="inlineStr">
        <is>
          <t>00012</t>
        </is>
      </c>
      <c r="B13" t="inlineStr">
        <is>
          <t>Client 012 Holdings</t>
        </is>
      </c>
      <c r="C13" t="inlineStr">
        <is>
          <t>DubCo</t>
        </is>
      </c>
      <c r="D13" t="inlineStr">
        <is>
          <t>CC-150</t>
        </is>
      </c>
      <c r="E13" t="inlineStr">
        <is>
          <t xml:space="preserve"> fixed income</t>
        </is>
      </c>
      <c r="F13" s="3" t="n">
        <v>45363</v>
      </c>
    </row>
    <row r="14">
      <c r="A14" t="inlineStr">
        <is>
          <t>00013</t>
        </is>
      </c>
      <c r="B14" t="inlineStr">
        <is>
          <t>Client 013 Holdings</t>
        </is>
      </c>
      <c r="C14" t="inlineStr">
        <is>
          <t>LuxCo</t>
        </is>
      </c>
      <c r="D14" t="inlineStr">
        <is>
          <t>CC-100</t>
        </is>
      </c>
      <c r="E14" t="inlineStr">
        <is>
          <t xml:space="preserve">  balanced </t>
        </is>
      </c>
      <c r="F14" s="3" t="n">
        <v>46338</v>
      </c>
    </row>
    <row r="15">
      <c r="A15" t="inlineStr">
        <is>
          <t>00014</t>
        </is>
      </c>
      <c r="B15" t="inlineStr">
        <is>
          <t>Client 014 Holdings</t>
        </is>
      </c>
      <c r="C15" t="inlineStr">
        <is>
          <t>UKCo</t>
        </is>
      </c>
      <c r="D15" t="inlineStr">
        <is>
          <t>CC-110</t>
        </is>
      </c>
      <c r="E15" t="inlineStr">
        <is>
          <t>equity</t>
        </is>
      </c>
      <c r="F15" s="3" t="n">
        <v>45365</v>
      </c>
    </row>
    <row r="16">
      <c r="A16" t="inlineStr">
        <is>
          <t>00015</t>
        </is>
      </c>
      <c r="B16" t="inlineStr">
        <is>
          <t>Client 015 Holdings</t>
        </is>
      </c>
      <c r="C16" t="inlineStr">
        <is>
          <t>DubCo</t>
        </is>
      </c>
      <c r="D16" t="inlineStr">
        <is>
          <t>CC-120</t>
        </is>
      </c>
      <c r="E16" t="inlineStr">
        <is>
          <t xml:space="preserve"> fixed income</t>
        </is>
      </c>
      <c r="F16" s="3" t="n">
        <v>45366</v>
      </c>
    </row>
    <row r="17">
      <c r="A17" t="inlineStr">
        <is>
          <t>00016</t>
        </is>
      </c>
      <c r="B17" t="inlineStr">
        <is>
          <t>Client 016 Holdings</t>
        </is>
      </c>
      <c r="C17" t="inlineStr">
        <is>
          <t>LuxCo</t>
        </is>
      </c>
      <c r="D17" t="inlineStr">
        <is>
          <t>CC-130</t>
        </is>
      </c>
      <c r="E17" t="inlineStr">
        <is>
          <t xml:space="preserve">  balanced </t>
        </is>
      </c>
      <c r="F17" s="3" t="n">
        <v>45367</v>
      </c>
    </row>
    <row r="18">
      <c r="A18" t="inlineStr">
        <is>
          <t>00017</t>
        </is>
      </c>
      <c r="B18" t="inlineStr">
        <is>
          <t>Client 017 Holdings</t>
        </is>
      </c>
      <c r="C18" t="inlineStr">
        <is>
          <t>UKCo</t>
        </is>
      </c>
      <c r="D18" t="inlineStr">
        <is>
          <t>CC-140</t>
        </is>
      </c>
      <c r="E18" t="inlineStr">
        <is>
          <t>equity</t>
        </is>
      </c>
      <c r="F18" s="3" t="n">
        <v>45368</v>
      </c>
    </row>
    <row r="19">
      <c r="A19" t="inlineStr">
        <is>
          <t>00018</t>
        </is>
      </c>
      <c r="B19" t="inlineStr">
        <is>
          <t>Client 018 Holdings</t>
        </is>
      </c>
      <c r="C19" t="inlineStr">
        <is>
          <t>DubCo</t>
        </is>
      </c>
      <c r="D19" t="inlineStr">
        <is>
          <t>CC-150</t>
        </is>
      </c>
      <c r="E19" t="inlineStr">
        <is>
          <t xml:space="preserve"> fixed income</t>
        </is>
      </c>
      <c r="F19" s="3" t="n">
        <v>45369</v>
      </c>
    </row>
    <row r="20">
      <c r="A20" t="inlineStr">
        <is>
          <t>00019</t>
        </is>
      </c>
      <c r="B20" t="inlineStr">
        <is>
          <t>Client 019 Holdings</t>
        </is>
      </c>
      <c r="C20" t="inlineStr">
        <is>
          <t>LuxCo</t>
        </is>
      </c>
      <c r="D20" t="inlineStr">
        <is>
          <t>CC-100</t>
        </is>
      </c>
      <c r="E20" t="inlineStr">
        <is>
          <t xml:space="preserve">  balanced </t>
        </is>
      </c>
      <c r="F20" s="3" t="n">
        <v>45370</v>
      </c>
    </row>
    <row r="21">
      <c r="A21" t="inlineStr">
        <is>
          <t>00020</t>
        </is>
      </c>
      <c r="B21" t="inlineStr">
        <is>
          <t>Client 020 Holdings</t>
        </is>
      </c>
      <c r="C21" t="inlineStr">
        <is>
          <t>UKCo</t>
        </is>
      </c>
      <c r="D21" t="inlineStr">
        <is>
          <t>CC-110</t>
        </is>
      </c>
      <c r="E21" t="inlineStr">
        <is>
          <t>equity</t>
        </is>
      </c>
      <c r="F21" s="3" t="n">
        <v>45371</v>
      </c>
    </row>
    <row r="22">
      <c r="A22" t="inlineStr">
        <is>
          <t>00021</t>
        </is>
      </c>
      <c r="B22" t="inlineStr">
        <is>
          <t>Client 021 Holdings</t>
        </is>
      </c>
      <c r="C22" t="inlineStr">
        <is>
          <t>DubCo</t>
        </is>
      </c>
      <c r="D22" t="inlineStr">
        <is>
          <t>CC-120</t>
        </is>
      </c>
      <c r="E22" t="inlineStr">
        <is>
          <t xml:space="preserve"> fixed income</t>
        </is>
      </c>
      <c r="F22" s="3" t="n">
        <v>45372</v>
      </c>
    </row>
    <row r="23">
      <c r="A23" t="inlineStr">
        <is>
          <t>00022</t>
        </is>
      </c>
      <c r="B23" t="inlineStr">
        <is>
          <t>Client 022 Holdings</t>
        </is>
      </c>
      <c r="C23" t="inlineStr">
        <is>
          <t>LuxCo</t>
        </is>
      </c>
      <c r="D23" t="inlineStr">
        <is>
          <t>CC-130</t>
        </is>
      </c>
      <c r="E23" t="inlineStr">
        <is>
          <t xml:space="preserve">  balanced </t>
        </is>
      </c>
      <c r="F23" s="3" t="n">
        <v>45373</v>
      </c>
    </row>
    <row r="24">
      <c r="A24" t="inlineStr">
        <is>
          <t>00023</t>
        </is>
      </c>
      <c r="B24" t="inlineStr">
        <is>
          <t>Client 023 Holdings</t>
        </is>
      </c>
      <c r="C24" t="inlineStr">
        <is>
          <t>UKCo</t>
        </is>
      </c>
      <c r="D24" t="inlineStr">
        <is>
          <t>CC-140</t>
        </is>
      </c>
      <c r="E24" t="inlineStr">
        <is>
          <t>equity</t>
        </is>
      </c>
      <c r="F24" s="3" t="n">
        <v>45374</v>
      </c>
    </row>
    <row r="25">
      <c r="A25" t="inlineStr">
        <is>
          <t>00024</t>
        </is>
      </c>
      <c r="B25" t="inlineStr">
        <is>
          <t>Client 024 Holdings</t>
        </is>
      </c>
      <c r="C25" t="inlineStr">
        <is>
          <t>DubCo</t>
        </is>
      </c>
      <c r="D25" t="inlineStr">
        <is>
          <t>CC-150</t>
        </is>
      </c>
      <c r="E25" t="inlineStr">
        <is>
          <t xml:space="preserve"> fixed income</t>
        </is>
      </c>
      <c r="F25" s="3" t="n">
        <v>45375</v>
      </c>
    </row>
    <row r="26">
      <c r="A26" t="inlineStr">
        <is>
          <t>00025</t>
        </is>
      </c>
      <c r="B26" t="inlineStr">
        <is>
          <t>Client 025 Holdings</t>
        </is>
      </c>
      <c r="C26" t="inlineStr">
        <is>
          <t>LuxCo</t>
        </is>
      </c>
      <c r="D26" t="inlineStr">
        <is>
          <t>CC-100</t>
        </is>
      </c>
      <c r="E26" t="inlineStr">
        <is>
          <t xml:space="preserve">  balanced </t>
        </is>
      </c>
      <c r="F26" s="3" t="n">
        <v>45376</v>
      </c>
    </row>
    <row r="27">
      <c r="A27" t="inlineStr">
        <is>
          <t>00026</t>
        </is>
      </c>
      <c r="B27" t="inlineStr">
        <is>
          <t>Client 026 Holdings</t>
        </is>
      </c>
      <c r="C27" t="inlineStr">
        <is>
          <t>UKCo</t>
        </is>
      </c>
      <c r="D27" t="inlineStr">
        <is>
          <t>CC-110</t>
        </is>
      </c>
      <c r="E27" t="inlineStr">
        <is>
          <t>equity</t>
        </is>
      </c>
      <c r="F27" s="3" t="n">
        <v>45377</v>
      </c>
    </row>
    <row r="28">
      <c r="A28" t="inlineStr">
        <is>
          <t>00027</t>
        </is>
      </c>
      <c r="B28" t="inlineStr">
        <is>
          <t>Client 027 Holdings</t>
        </is>
      </c>
      <c r="C28" t="inlineStr">
        <is>
          <t>DubCo</t>
        </is>
      </c>
      <c r="D28" t="inlineStr">
        <is>
          <t>CC-120</t>
        </is>
      </c>
      <c r="E28" t="inlineStr">
        <is>
          <t xml:space="preserve"> fixed income</t>
        </is>
      </c>
      <c r="F28" s="3" t="n">
        <v>45378</v>
      </c>
    </row>
    <row r="29">
      <c r="A29" t="inlineStr">
        <is>
          <t>00028</t>
        </is>
      </c>
      <c r="B29" t="inlineStr">
        <is>
          <t>Client 028 Holdings</t>
        </is>
      </c>
      <c r="C29" t="inlineStr">
        <is>
          <t>LuxCo</t>
        </is>
      </c>
      <c r="D29" t="inlineStr">
        <is>
          <t>CC-130</t>
        </is>
      </c>
      <c r="E29" t="inlineStr">
        <is>
          <t xml:space="preserve">  balanced </t>
        </is>
      </c>
      <c r="F29" s="3" t="n">
        <v>45352</v>
      </c>
    </row>
    <row r="30">
      <c r="A30" t="inlineStr">
        <is>
          <t>00029</t>
        </is>
      </c>
      <c r="B30" t="inlineStr">
        <is>
          <t>Client 029 Holdings</t>
        </is>
      </c>
      <c r="C30" t="inlineStr">
        <is>
          <t>UKCo</t>
        </is>
      </c>
      <c r="D30" t="inlineStr">
        <is>
          <t>CC-140</t>
        </is>
      </c>
      <c r="E30" t="inlineStr">
        <is>
          <t>equity</t>
        </is>
      </c>
      <c r="F30" s="3" t="n">
        <v>45353</v>
      </c>
    </row>
    <row r="31">
      <c r="A31" t="inlineStr">
        <is>
          <t>00030</t>
        </is>
      </c>
      <c r="B31" t="inlineStr">
        <is>
          <t>Client 030 Holdings</t>
        </is>
      </c>
      <c r="C31" t="inlineStr">
        <is>
          <t>DubCo</t>
        </is>
      </c>
      <c r="D31" t="inlineStr">
        <is>
          <t>CC-150</t>
        </is>
      </c>
      <c r="E31" t="inlineStr">
        <is>
          <t xml:space="preserve"> fixed income</t>
        </is>
      </c>
      <c r="F31" s="3" t="n">
        <v>45354</v>
      </c>
    </row>
    <row r="32">
      <c r="A32" t="inlineStr">
        <is>
          <t>00031</t>
        </is>
      </c>
      <c r="B32" t="inlineStr">
        <is>
          <t>Client 031 Holdings</t>
        </is>
      </c>
      <c r="C32" t="inlineStr">
        <is>
          <t>LuxCo</t>
        </is>
      </c>
      <c r="D32" t="inlineStr">
        <is>
          <t>CC-100</t>
        </is>
      </c>
      <c r="E32" t="inlineStr">
        <is>
          <t xml:space="preserve">  balanced </t>
        </is>
      </c>
      <c r="F32" s="3" t="n">
        <v>45355</v>
      </c>
    </row>
    <row r="33">
      <c r="A33" t="inlineStr">
        <is>
          <t>00032</t>
        </is>
      </c>
      <c r="B33" t="inlineStr">
        <is>
          <t>Client 032 Holdings</t>
        </is>
      </c>
      <c r="C33" t="inlineStr">
        <is>
          <t>UKCo</t>
        </is>
      </c>
      <c r="D33" t="inlineStr">
        <is>
          <t>CC-110</t>
        </is>
      </c>
      <c r="E33" t="inlineStr">
        <is>
          <t>equity</t>
        </is>
      </c>
      <c r="F33" s="3" t="n">
        <v>45356</v>
      </c>
    </row>
    <row r="34">
      <c r="A34" t="inlineStr">
        <is>
          <t>00033</t>
        </is>
      </c>
      <c r="B34" t="inlineStr">
        <is>
          <t>Client 033 Holdings</t>
        </is>
      </c>
      <c r="C34" t="inlineStr">
        <is>
          <t>DubCo</t>
        </is>
      </c>
      <c r="D34" t="inlineStr">
        <is>
          <t>CC-120</t>
        </is>
      </c>
      <c r="E34" t="inlineStr">
        <is>
          <t xml:space="preserve"> fixed income</t>
        </is>
      </c>
      <c r="F34" s="3" t="n">
        <v>45357</v>
      </c>
    </row>
    <row r="35">
      <c r="A35" t="inlineStr">
        <is>
          <t>00034</t>
        </is>
      </c>
      <c r="B35" t="inlineStr">
        <is>
          <t>Client 034 Holdings</t>
        </is>
      </c>
      <c r="C35" t="inlineStr">
        <is>
          <t>LuxCo</t>
        </is>
      </c>
      <c r="D35" t="inlineStr">
        <is>
          <t>CC-130</t>
        </is>
      </c>
      <c r="E35" t="inlineStr">
        <is>
          <t xml:space="preserve">  balanced </t>
        </is>
      </c>
      <c r="F35" s="3" t="n">
        <v>46346</v>
      </c>
    </row>
    <row r="36">
      <c r="A36" t="inlineStr">
        <is>
          <t>00035</t>
        </is>
      </c>
      <c r="B36" t="inlineStr">
        <is>
          <t>Client 035 Holdings</t>
        </is>
      </c>
      <c r="C36" t="inlineStr">
        <is>
          <t>UKCo</t>
        </is>
      </c>
      <c r="D36" t="inlineStr">
        <is>
          <t>CC-140</t>
        </is>
      </c>
      <c r="E36" t="inlineStr">
        <is>
          <t>equity</t>
        </is>
      </c>
      <c r="F36" s="3" t="n">
        <v>45359</v>
      </c>
    </row>
    <row r="37">
      <c r="A37" t="inlineStr">
        <is>
          <t>00036</t>
        </is>
      </c>
      <c r="B37" t="inlineStr">
        <is>
          <t>Client 036 Holdings</t>
        </is>
      </c>
      <c r="C37" t="inlineStr">
        <is>
          <t>DubCo</t>
        </is>
      </c>
      <c r="D37" t="inlineStr">
        <is>
          <t>CC-150</t>
        </is>
      </c>
      <c r="E37" t="inlineStr">
        <is>
          <t xml:space="preserve"> fixed income</t>
        </is>
      </c>
      <c r="F37" s="3" t="n">
        <v>45360</v>
      </c>
    </row>
    <row r="38">
      <c r="A38" t="inlineStr">
        <is>
          <t>00037</t>
        </is>
      </c>
      <c r="B38" t="inlineStr">
        <is>
          <t>Client 037 Holdings</t>
        </is>
      </c>
      <c r="C38" t="inlineStr">
        <is>
          <t>LuxCo</t>
        </is>
      </c>
      <c r="D38" t="inlineStr">
        <is>
          <t>CC-100</t>
        </is>
      </c>
      <c r="E38" t="inlineStr">
        <is>
          <t xml:space="preserve">  balanced </t>
        </is>
      </c>
      <c r="F38" s="3" t="n">
        <v>45361</v>
      </c>
    </row>
    <row r="39">
      <c r="A39" t="inlineStr">
        <is>
          <t>00038</t>
        </is>
      </c>
      <c r="B39" t="inlineStr">
        <is>
          <t>Client 038 Holdings</t>
        </is>
      </c>
      <c r="C39" t="inlineStr">
        <is>
          <t>UKCo</t>
        </is>
      </c>
      <c r="D39" t="inlineStr">
        <is>
          <t>CC-110</t>
        </is>
      </c>
      <c r="E39" t="inlineStr">
        <is>
          <t>equity</t>
        </is>
      </c>
      <c r="F39" s="3" t="n">
        <v>45362</v>
      </c>
    </row>
    <row r="40">
      <c r="A40" t="inlineStr">
        <is>
          <t>00039</t>
        </is>
      </c>
      <c r="B40" t="inlineStr">
        <is>
          <t>Client 039 Holdings</t>
        </is>
      </c>
      <c r="C40" t="inlineStr">
        <is>
          <t>DubCo</t>
        </is>
      </c>
      <c r="D40" t="inlineStr">
        <is>
          <t>CC-120</t>
        </is>
      </c>
      <c r="E40" t="inlineStr">
        <is>
          <t xml:space="preserve"> fixed income</t>
        </is>
      </c>
      <c r="F40" s="3" t="n">
        <v>45363</v>
      </c>
    </row>
    <row r="41">
      <c r="A41" t="inlineStr">
        <is>
          <t>00040</t>
        </is>
      </c>
      <c r="B41" t="inlineStr">
        <is>
          <t>Client 040 Holdings</t>
        </is>
      </c>
      <c r="C41" t="inlineStr">
        <is>
          <t>LuxCo</t>
        </is>
      </c>
      <c r="D41" t="inlineStr">
        <is>
          <t>CC-130</t>
        </is>
      </c>
      <c r="E41" t="inlineStr">
        <is>
          <t xml:space="preserve">  balanced </t>
        </is>
      </c>
      <c r="F41" s="3" t="n">
        <v>45364</v>
      </c>
    </row>
    <row r="42">
      <c r="A42" t="inlineStr">
        <is>
          <t>00041</t>
        </is>
      </c>
      <c r="B42" t="inlineStr">
        <is>
          <t>Client 041 Holdings</t>
        </is>
      </c>
      <c r="C42" t="inlineStr">
        <is>
          <t>UKCo</t>
        </is>
      </c>
      <c r="D42" t="inlineStr">
        <is>
          <t>CC-140</t>
        </is>
      </c>
      <c r="E42" t="inlineStr">
        <is>
          <t>equity</t>
        </is>
      </c>
      <c r="F42" s="3" t="n">
        <v>45365</v>
      </c>
    </row>
    <row r="43">
      <c r="A43" t="inlineStr">
        <is>
          <t>00042</t>
        </is>
      </c>
      <c r="B43" t="inlineStr">
        <is>
          <t>Client 042 Holdings</t>
        </is>
      </c>
      <c r="C43" t="inlineStr">
        <is>
          <t>DubCo</t>
        </is>
      </c>
      <c r="D43" t="inlineStr">
        <is>
          <t>CC-150</t>
        </is>
      </c>
      <c r="E43" t="inlineStr">
        <is>
          <t xml:space="preserve"> fixed income</t>
        </is>
      </c>
      <c r="F43" s="3" t="n">
        <v>45366</v>
      </c>
    </row>
    <row r="44">
      <c r="A44" t="inlineStr">
        <is>
          <t>00043</t>
        </is>
      </c>
      <c r="B44" t="inlineStr">
        <is>
          <t>Client 043 Holdings</t>
        </is>
      </c>
      <c r="C44" t="inlineStr">
        <is>
          <t>LuxCo</t>
        </is>
      </c>
      <c r="D44" t="inlineStr">
        <is>
          <t>CC-100</t>
        </is>
      </c>
      <c r="E44" t="inlineStr">
        <is>
          <t xml:space="preserve">  balanced </t>
        </is>
      </c>
      <c r="F44" s="3" t="n">
        <v>45367</v>
      </c>
    </row>
    <row r="45">
      <c r="A45" t="inlineStr">
        <is>
          <t>00044</t>
        </is>
      </c>
      <c r="B45" t="inlineStr">
        <is>
          <t>Client 044 Holdings</t>
        </is>
      </c>
      <c r="C45" t="inlineStr">
        <is>
          <t>UKCo</t>
        </is>
      </c>
      <c r="D45" t="inlineStr">
        <is>
          <t>CC-110</t>
        </is>
      </c>
      <c r="E45" t="inlineStr">
        <is>
          <t>equity</t>
        </is>
      </c>
      <c r="F45" s="3" t="n">
        <v>45368</v>
      </c>
    </row>
    <row r="46">
      <c r="A46" t="inlineStr">
        <is>
          <t>00045</t>
        </is>
      </c>
      <c r="B46" t="inlineStr">
        <is>
          <t>Client 045 Holdings</t>
        </is>
      </c>
      <c r="C46" t="inlineStr">
        <is>
          <t>DubCo</t>
        </is>
      </c>
      <c r="D46" t="inlineStr">
        <is>
          <t>CC-120</t>
        </is>
      </c>
      <c r="E46" t="inlineStr">
        <is>
          <t xml:space="preserve"> fixed income</t>
        </is>
      </c>
      <c r="F46" s="3" t="n">
        <v>45369</v>
      </c>
    </row>
    <row r="47">
      <c r="A47" t="inlineStr">
        <is>
          <t>00046</t>
        </is>
      </c>
      <c r="B47" t="inlineStr">
        <is>
          <t>Client 046 Holdings</t>
        </is>
      </c>
      <c r="C47" t="inlineStr">
        <is>
          <t>LuxCo</t>
        </is>
      </c>
      <c r="D47" t="inlineStr">
        <is>
          <t>CC-130</t>
        </is>
      </c>
      <c r="E47" t="inlineStr">
        <is>
          <t xml:space="preserve">  balanced </t>
        </is>
      </c>
      <c r="F47" s="3" t="n">
        <v>45370</v>
      </c>
    </row>
    <row r="48">
      <c r="A48" t="inlineStr">
        <is>
          <t>00047</t>
        </is>
      </c>
      <c r="B48" t="inlineStr">
        <is>
          <t>Client 047 Holdings</t>
        </is>
      </c>
      <c r="C48" t="inlineStr">
        <is>
          <t>UKCo</t>
        </is>
      </c>
      <c r="D48" t="inlineStr">
        <is>
          <t>CC-140</t>
        </is>
      </c>
      <c r="E48" t="inlineStr">
        <is>
          <t>equity</t>
        </is>
      </c>
      <c r="F48" s="3" t="n">
        <v>45371</v>
      </c>
    </row>
    <row r="49">
      <c r="A49" t="inlineStr">
        <is>
          <t>00048</t>
        </is>
      </c>
      <c r="B49" t="inlineStr">
        <is>
          <t>Client 048 Holdings</t>
        </is>
      </c>
      <c r="C49" t="inlineStr">
        <is>
          <t>DubCo</t>
        </is>
      </c>
      <c r="D49" t="inlineStr">
        <is>
          <t>CC-150</t>
        </is>
      </c>
      <c r="E49" t="inlineStr">
        <is>
          <t xml:space="preserve"> fixed income</t>
        </is>
      </c>
      <c r="F49" s="3" t="n">
        <v>45372</v>
      </c>
    </row>
    <row r="50">
      <c r="A50" t="inlineStr">
        <is>
          <t>00049</t>
        </is>
      </c>
      <c r="B50" t="inlineStr">
        <is>
          <t>Client 049 Holdings</t>
        </is>
      </c>
      <c r="C50" t="inlineStr">
        <is>
          <t>LuxCo</t>
        </is>
      </c>
      <c r="D50" t="inlineStr">
        <is>
          <t>CC-100</t>
        </is>
      </c>
      <c r="E50" t="inlineStr">
        <is>
          <t xml:space="preserve">  balanced </t>
        </is>
      </c>
      <c r="F50" s="3" t="n">
        <v>45373</v>
      </c>
    </row>
    <row r="51">
      <c r="A51" t="inlineStr">
        <is>
          <t>00050</t>
        </is>
      </c>
      <c r="B51" t="inlineStr">
        <is>
          <t>Client 050 Holdings</t>
        </is>
      </c>
      <c r="C51" t="inlineStr">
        <is>
          <t>UKCo</t>
        </is>
      </c>
      <c r="D51" t="inlineStr">
        <is>
          <t>CC-110</t>
        </is>
      </c>
      <c r="E51" t="inlineStr">
        <is>
          <t>equity</t>
        </is>
      </c>
      <c r="F51" s="3" t="n">
        <v>45374</v>
      </c>
    </row>
    <row r="52">
      <c r="A52" t="inlineStr">
        <is>
          <t>00051</t>
        </is>
      </c>
      <c r="B52" t="inlineStr">
        <is>
          <t>Client 051 Holdings</t>
        </is>
      </c>
      <c r="C52" t="inlineStr">
        <is>
          <t>DubCo</t>
        </is>
      </c>
      <c r="D52" t="inlineStr">
        <is>
          <t>CC-120</t>
        </is>
      </c>
      <c r="E52" t="inlineStr">
        <is>
          <t xml:space="preserve"> fixed income</t>
        </is>
      </c>
      <c r="F52" s="3" t="n">
        <v>45375</v>
      </c>
    </row>
    <row r="53">
      <c r="A53" t="inlineStr">
        <is>
          <t>00052</t>
        </is>
      </c>
      <c r="B53" t="inlineStr">
        <is>
          <t>Client 052 Holdings</t>
        </is>
      </c>
      <c r="C53" t="inlineStr">
        <is>
          <t>LuxCo</t>
        </is>
      </c>
      <c r="D53" t="inlineStr">
        <is>
          <t>CC-130</t>
        </is>
      </c>
      <c r="E53" t="inlineStr">
        <is>
          <t xml:space="preserve">  balanced </t>
        </is>
      </c>
      <c r="F53" s="3" t="n">
        <v>45376</v>
      </c>
    </row>
    <row r="54">
      <c r="A54" t="inlineStr">
        <is>
          <t>00053</t>
        </is>
      </c>
      <c r="B54" t="inlineStr">
        <is>
          <t>Client 053 Holdings</t>
        </is>
      </c>
      <c r="C54" t="inlineStr">
        <is>
          <t>UKCo</t>
        </is>
      </c>
      <c r="D54" t="inlineStr">
        <is>
          <t>CC-140</t>
        </is>
      </c>
      <c r="E54" t="inlineStr">
        <is>
          <t>equity</t>
        </is>
      </c>
      <c r="F54" s="3" t="n">
        <v>45377</v>
      </c>
    </row>
    <row r="55">
      <c r="A55" t="inlineStr">
        <is>
          <t>00054</t>
        </is>
      </c>
      <c r="B55" t="inlineStr">
        <is>
          <t>Client 054 Holdings</t>
        </is>
      </c>
      <c r="C55" t="inlineStr">
        <is>
          <t>DubCo</t>
        </is>
      </c>
      <c r="D55" t="inlineStr">
        <is>
          <t>CC-150</t>
        </is>
      </c>
      <c r="E55" t="inlineStr">
        <is>
          <t xml:space="preserve"> fixed income</t>
        </is>
      </c>
      <c r="F55" s="3" t="n">
        <v>45378</v>
      </c>
    </row>
    <row r="56">
      <c r="A56" t="inlineStr">
        <is>
          <t>00055</t>
        </is>
      </c>
      <c r="B56" t="inlineStr">
        <is>
          <t>Client 055 Holdings</t>
        </is>
      </c>
      <c r="C56" t="inlineStr">
        <is>
          <t>LuxCo</t>
        </is>
      </c>
      <c r="D56" t="inlineStr">
        <is>
          <t>CC-100</t>
        </is>
      </c>
      <c r="E56" t="inlineStr">
        <is>
          <t xml:space="preserve">  balanced </t>
        </is>
      </c>
      <c r="F56" s="3" t="n">
        <v>45352</v>
      </c>
    </row>
    <row r="57">
      <c r="A57" t="inlineStr">
        <is>
          <t>00056</t>
        </is>
      </c>
      <c r="B57" t="inlineStr">
        <is>
          <t>Client 056 Holdings</t>
        </is>
      </c>
      <c r="C57" t="inlineStr">
        <is>
          <t>UKCo</t>
        </is>
      </c>
      <c r="D57" t="inlineStr">
        <is>
          <t>CC-110</t>
        </is>
      </c>
      <c r="E57" t="inlineStr">
        <is>
          <t>equity</t>
        </is>
      </c>
      <c r="F57" s="3" t="n">
        <v>45353</v>
      </c>
    </row>
    <row r="58">
      <c r="A58" t="inlineStr">
        <is>
          <t>00057</t>
        </is>
      </c>
      <c r="B58" t="inlineStr">
        <is>
          <t>Client 057 Holdings</t>
        </is>
      </c>
      <c r="C58" t="inlineStr">
        <is>
          <t>DubCo</t>
        </is>
      </c>
      <c r="D58" t="inlineStr">
        <is>
          <t>CC-120</t>
        </is>
      </c>
      <c r="E58" t="inlineStr">
        <is>
          <t xml:space="preserve"> fixed income</t>
        </is>
      </c>
      <c r="F58" s="3" t="n">
        <v>45354</v>
      </c>
    </row>
    <row r="59">
      <c r="A59" t="inlineStr">
        <is>
          <t>00058</t>
        </is>
      </c>
      <c r="B59" t="inlineStr">
        <is>
          <t>Client 058 Holdings</t>
        </is>
      </c>
      <c r="C59" t="inlineStr">
        <is>
          <t>LuxCo</t>
        </is>
      </c>
      <c r="D59" t="inlineStr">
        <is>
          <t>CC-130</t>
        </is>
      </c>
      <c r="E59" t="inlineStr">
        <is>
          <t xml:space="preserve">  balanced </t>
        </is>
      </c>
      <c r="F59" s="3" t="n">
        <v>45355</v>
      </c>
    </row>
    <row r="60">
      <c r="A60" t="inlineStr">
        <is>
          <t>00059</t>
        </is>
      </c>
      <c r="B60" t="inlineStr">
        <is>
          <t>Client 059 Holdings</t>
        </is>
      </c>
      <c r="C60" t="inlineStr">
        <is>
          <t>UKCo</t>
        </is>
      </c>
      <c r="D60" t="inlineStr">
        <is>
          <t>CC-140</t>
        </is>
      </c>
      <c r="E60" t="inlineStr">
        <is>
          <t>equity</t>
        </is>
      </c>
      <c r="F60" s="3" t="n">
        <v>46332</v>
      </c>
    </row>
    <row r="61">
      <c r="A61" t="inlineStr">
        <is>
          <t>00060</t>
        </is>
      </c>
      <c r="B61" t="inlineStr">
        <is>
          <t>Client 060 Holdings</t>
        </is>
      </c>
      <c r="C61" t="inlineStr">
        <is>
          <t>DubCo</t>
        </is>
      </c>
      <c r="D61" t="inlineStr">
        <is>
          <t>CC-150</t>
        </is>
      </c>
      <c r="E61" t="inlineStr">
        <is>
          <t xml:space="preserve"> fixed income</t>
        </is>
      </c>
      <c r="F61" s="3" t="n">
        <v>45357</v>
      </c>
    </row>
    <row r="62">
      <c r="A62" t="inlineStr">
        <is>
          <t>00061</t>
        </is>
      </c>
      <c r="B62" t="inlineStr">
        <is>
          <t>Client 061 Holdings</t>
        </is>
      </c>
      <c r="C62" t="inlineStr">
        <is>
          <t>LuxCo</t>
        </is>
      </c>
      <c r="D62" t="inlineStr">
        <is>
          <t>CC-100</t>
        </is>
      </c>
      <c r="E62" t="inlineStr">
        <is>
          <t xml:space="preserve">  balanced </t>
        </is>
      </c>
      <c r="F62" s="3" t="n">
        <v>45358</v>
      </c>
    </row>
    <row r="63">
      <c r="A63" t="inlineStr">
        <is>
          <t>00062</t>
        </is>
      </c>
      <c r="B63" t="inlineStr">
        <is>
          <t>Client 062 Holdings</t>
        </is>
      </c>
      <c r="C63" t="inlineStr">
        <is>
          <t>UKCo</t>
        </is>
      </c>
      <c r="D63" t="inlineStr">
        <is>
          <t>CC-110</t>
        </is>
      </c>
      <c r="E63" t="inlineStr">
        <is>
          <t>equity</t>
        </is>
      </c>
      <c r="F63" s="3" t="n">
        <v>45359</v>
      </c>
    </row>
    <row r="64">
      <c r="A64" t="inlineStr">
        <is>
          <t>00063</t>
        </is>
      </c>
      <c r="B64" t="inlineStr">
        <is>
          <t>Client 063 Holdings</t>
        </is>
      </c>
      <c r="C64" t="inlineStr">
        <is>
          <t>DubCo</t>
        </is>
      </c>
      <c r="D64" t="inlineStr">
        <is>
          <t>CC-120</t>
        </is>
      </c>
      <c r="E64" t="inlineStr">
        <is>
          <t xml:space="preserve"> fixed income</t>
        </is>
      </c>
      <c r="F64" s="3" t="n">
        <v>45360</v>
      </c>
    </row>
    <row r="65">
      <c r="A65" t="inlineStr">
        <is>
          <t>00064</t>
        </is>
      </c>
      <c r="B65" t="inlineStr">
        <is>
          <t>Client 064 Holdings</t>
        </is>
      </c>
      <c r="C65" t="inlineStr">
        <is>
          <t>LuxCo</t>
        </is>
      </c>
      <c r="D65" t="inlineStr">
        <is>
          <t>CC-130</t>
        </is>
      </c>
      <c r="E65" t="inlineStr">
        <is>
          <t xml:space="preserve">  balanced </t>
        </is>
      </c>
      <c r="F65" s="3" t="n">
        <v>45361</v>
      </c>
    </row>
    <row r="66">
      <c r="A66" t="inlineStr">
        <is>
          <t>00065</t>
        </is>
      </c>
      <c r="B66" t="inlineStr">
        <is>
          <t>Client 065 Holdings</t>
        </is>
      </c>
      <c r="C66" t="inlineStr">
        <is>
          <t>UKCo</t>
        </is>
      </c>
      <c r="D66" t="inlineStr">
        <is>
          <t>CC-140</t>
        </is>
      </c>
      <c r="E66" t="inlineStr">
        <is>
          <t>equity</t>
        </is>
      </c>
      <c r="F66" s="3" t="n">
        <v>45362</v>
      </c>
    </row>
    <row r="67">
      <c r="A67" t="inlineStr">
        <is>
          <t>00066</t>
        </is>
      </c>
      <c r="B67" t="inlineStr">
        <is>
          <t>Client 066 Holdings</t>
        </is>
      </c>
      <c r="C67" t="inlineStr">
        <is>
          <t>DubCo</t>
        </is>
      </c>
      <c r="D67" t="inlineStr">
        <is>
          <t>CC-150</t>
        </is>
      </c>
      <c r="E67" t="inlineStr">
        <is>
          <t xml:space="preserve"> fixed income</t>
        </is>
      </c>
      <c r="F67" s="3" t="n">
        <v>45363</v>
      </c>
    </row>
    <row r="68">
      <c r="A68" t="inlineStr">
        <is>
          <t>00067</t>
        </is>
      </c>
      <c r="B68" t="inlineStr">
        <is>
          <t>Client 067 Holdings</t>
        </is>
      </c>
      <c r="C68" t="inlineStr">
        <is>
          <t>LuxCo</t>
        </is>
      </c>
      <c r="D68" t="inlineStr">
        <is>
          <t>CC-100</t>
        </is>
      </c>
      <c r="E68" t="inlineStr">
        <is>
          <t xml:space="preserve">  balanced </t>
        </is>
      </c>
      <c r="F68" s="3" t="n">
        <v>45364</v>
      </c>
    </row>
    <row r="69">
      <c r="A69" t="inlineStr">
        <is>
          <t>00068</t>
        </is>
      </c>
      <c r="B69" t="inlineStr">
        <is>
          <t>Client 068 Holdings</t>
        </is>
      </c>
      <c r="C69" t="inlineStr">
        <is>
          <t>UKCo</t>
        </is>
      </c>
      <c r="D69" t="inlineStr">
        <is>
          <t>CC-110</t>
        </is>
      </c>
      <c r="E69" t="inlineStr">
        <is>
          <t>equity</t>
        </is>
      </c>
      <c r="F69" s="3" t="n">
        <v>45365</v>
      </c>
    </row>
    <row r="70">
      <c r="A70" t="inlineStr">
        <is>
          <t>00069</t>
        </is>
      </c>
      <c r="B70" t="inlineStr">
        <is>
          <t>Client 069 Holdings</t>
        </is>
      </c>
      <c r="C70" t="inlineStr">
        <is>
          <t>DubCo</t>
        </is>
      </c>
      <c r="D70" t="inlineStr">
        <is>
          <t>CC-120</t>
        </is>
      </c>
      <c r="E70" t="inlineStr">
        <is>
          <t xml:space="preserve"> fixed income</t>
        </is>
      </c>
      <c r="F70" s="3" t="n">
        <v>45366</v>
      </c>
    </row>
    <row r="71">
      <c r="A71" t="inlineStr">
        <is>
          <t>00070</t>
        </is>
      </c>
      <c r="B71" t="inlineStr">
        <is>
          <t>Client 070 Holdings</t>
        </is>
      </c>
      <c r="C71" t="inlineStr">
        <is>
          <t>LuxCo</t>
        </is>
      </c>
      <c r="D71" t="inlineStr">
        <is>
          <t>CC-130</t>
        </is>
      </c>
      <c r="E71" t="inlineStr">
        <is>
          <t xml:space="preserve">  balanced </t>
        </is>
      </c>
      <c r="F71" s="3" t="n">
        <v>45367</v>
      </c>
    </row>
    <row r="72">
      <c r="A72" t="inlineStr">
        <is>
          <t>00071</t>
        </is>
      </c>
      <c r="B72" t="inlineStr">
        <is>
          <t>Client 071 Holdings</t>
        </is>
      </c>
      <c r="C72" t="inlineStr">
        <is>
          <t>UKCo</t>
        </is>
      </c>
      <c r="D72" t="inlineStr">
        <is>
          <t>CC-140</t>
        </is>
      </c>
      <c r="E72" t="inlineStr">
        <is>
          <t>equity</t>
        </is>
      </c>
      <c r="F72" s="3" t="n">
        <v>45368</v>
      </c>
    </row>
    <row r="73">
      <c r="A73" t="inlineStr">
        <is>
          <t>00072</t>
        </is>
      </c>
      <c r="B73" t="inlineStr">
        <is>
          <t>Client 072 Holdings</t>
        </is>
      </c>
      <c r="C73" t="inlineStr">
        <is>
          <t>DubCo</t>
        </is>
      </c>
      <c r="D73" t="inlineStr">
        <is>
          <t>CC-150</t>
        </is>
      </c>
      <c r="E73" t="inlineStr">
        <is>
          <t xml:space="preserve"> fixed income</t>
        </is>
      </c>
      <c r="F73" s="3" t="n">
        <v>45369</v>
      </c>
    </row>
    <row r="74">
      <c r="A74" t="inlineStr">
        <is>
          <t>00073</t>
        </is>
      </c>
      <c r="B74" t="inlineStr">
        <is>
          <t>Client 073 Holdings</t>
        </is>
      </c>
      <c r="C74" t="inlineStr">
        <is>
          <t>LuxCo</t>
        </is>
      </c>
      <c r="D74" t="inlineStr">
        <is>
          <t>CC-100</t>
        </is>
      </c>
      <c r="E74" t="inlineStr">
        <is>
          <t xml:space="preserve">  balanced </t>
        </is>
      </c>
      <c r="F74" s="3" t="n">
        <v>45370</v>
      </c>
    </row>
    <row r="75">
      <c r="A75" t="inlineStr">
        <is>
          <t>00074</t>
        </is>
      </c>
      <c r="B75" t="inlineStr">
        <is>
          <t>Client 074 Holdings</t>
        </is>
      </c>
      <c r="C75" t="inlineStr">
        <is>
          <t>UKCo</t>
        </is>
      </c>
      <c r="D75" t="inlineStr">
        <is>
          <t>CC-110</t>
        </is>
      </c>
      <c r="E75" t="inlineStr">
        <is>
          <t>equity</t>
        </is>
      </c>
      <c r="F75" s="3" t="n">
        <v>45371</v>
      </c>
    </row>
    <row r="76">
      <c r="A76" t="inlineStr">
        <is>
          <t>00075</t>
        </is>
      </c>
      <c r="B76" t="inlineStr">
        <is>
          <t>Client 075 Holdings</t>
        </is>
      </c>
      <c r="C76" t="inlineStr">
        <is>
          <t>DubCo</t>
        </is>
      </c>
      <c r="D76" t="inlineStr">
        <is>
          <t>CC-120</t>
        </is>
      </c>
      <c r="E76" t="inlineStr">
        <is>
          <t xml:space="preserve"> fixed income</t>
        </is>
      </c>
      <c r="F76" s="3" t="n">
        <v>45372</v>
      </c>
    </row>
    <row r="77">
      <c r="A77" t="inlineStr">
        <is>
          <t>00076</t>
        </is>
      </c>
      <c r="B77" t="inlineStr">
        <is>
          <t>Client 076 Holdings</t>
        </is>
      </c>
      <c r="C77" t="inlineStr">
        <is>
          <t>LuxCo</t>
        </is>
      </c>
      <c r="D77" t="inlineStr">
        <is>
          <t>CC-130</t>
        </is>
      </c>
      <c r="E77" t="inlineStr">
        <is>
          <t xml:space="preserve">  balanced </t>
        </is>
      </c>
      <c r="F77" s="3" t="n">
        <v>45373</v>
      </c>
    </row>
    <row r="78">
      <c r="A78" t="inlineStr">
        <is>
          <t>00077</t>
        </is>
      </c>
      <c r="B78" t="inlineStr">
        <is>
          <t>Client 077 Holdings</t>
        </is>
      </c>
      <c r="C78" t="inlineStr">
        <is>
          <t>UKCo</t>
        </is>
      </c>
      <c r="D78" t="inlineStr">
        <is>
          <t>CC-140</t>
        </is>
      </c>
      <c r="E78" t="inlineStr">
        <is>
          <t>equity</t>
        </is>
      </c>
      <c r="F78" s="3" t="n">
        <v>45374</v>
      </c>
    </row>
    <row r="79">
      <c r="A79" t="inlineStr">
        <is>
          <t>00078</t>
        </is>
      </c>
      <c r="B79" t="inlineStr">
        <is>
          <t>Client 078 Holdings</t>
        </is>
      </c>
      <c r="C79" t="inlineStr">
        <is>
          <t>DubCo</t>
        </is>
      </c>
      <c r="D79" t="inlineStr">
        <is>
          <t>CC-150</t>
        </is>
      </c>
      <c r="E79" t="inlineStr">
        <is>
          <t xml:space="preserve"> fixed income</t>
        </is>
      </c>
      <c r="F79" s="3" t="n">
        <v>45375</v>
      </c>
    </row>
    <row r="80">
      <c r="A80" t="inlineStr">
        <is>
          <t>00079</t>
        </is>
      </c>
      <c r="B80" t="inlineStr">
        <is>
          <t>Client 079 Holdings</t>
        </is>
      </c>
      <c r="C80" t="inlineStr">
        <is>
          <t>LuxCo</t>
        </is>
      </c>
      <c r="D80" t="inlineStr">
        <is>
          <t>CC-100</t>
        </is>
      </c>
      <c r="E80" t="inlineStr">
        <is>
          <t xml:space="preserve">  balanced </t>
        </is>
      </c>
      <c r="F80" s="3" t="n">
        <v>45376</v>
      </c>
    </row>
    <row r="81">
      <c r="A81" t="inlineStr">
        <is>
          <t>00080</t>
        </is>
      </c>
      <c r="B81" t="inlineStr">
        <is>
          <t>Client 080 Holdings</t>
        </is>
      </c>
      <c r="C81" t="inlineStr">
        <is>
          <t>UKCo</t>
        </is>
      </c>
      <c r="D81" t="inlineStr">
        <is>
          <t>CC-110</t>
        </is>
      </c>
      <c r="E81" t="inlineStr">
        <is>
          <t>equity</t>
        </is>
      </c>
      <c r="F81" s="3" t="n">
        <v>45377</v>
      </c>
    </row>
    <row r="82">
      <c r="A82" t="inlineStr">
        <is>
          <t>00081</t>
        </is>
      </c>
      <c r="B82" t="inlineStr">
        <is>
          <t>Client 081 Holdings</t>
        </is>
      </c>
      <c r="C82" t="inlineStr">
        <is>
          <t>DubCo</t>
        </is>
      </c>
      <c r="D82" t="inlineStr">
        <is>
          <t>CC-120</t>
        </is>
      </c>
      <c r="E82" t="inlineStr">
        <is>
          <t xml:space="preserve"> fixed income</t>
        </is>
      </c>
      <c r="F82" s="3" t="n">
        <v>45378</v>
      </c>
    </row>
    <row r="83">
      <c r="A83" t="inlineStr">
        <is>
          <t>00082</t>
        </is>
      </c>
      <c r="B83" t="inlineStr">
        <is>
          <t>Client 082 Holdings</t>
        </is>
      </c>
      <c r="C83" t="inlineStr">
        <is>
          <t>LuxCo</t>
        </is>
      </c>
      <c r="D83" t="inlineStr">
        <is>
          <t>CC-130</t>
        </is>
      </c>
      <c r="E83" t="inlineStr">
        <is>
          <t xml:space="preserve">  balanced </t>
        </is>
      </c>
      <c r="F83" s="3" t="n">
        <v>45352</v>
      </c>
    </row>
    <row r="84">
      <c r="A84" t="inlineStr">
        <is>
          <t>00083</t>
        </is>
      </c>
      <c r="B84" t="inlineStr">
        <is>
          <t>Client 083 Holdings</t>
        </is>
      </c>
      <c r="C84" t="inlineStr">
        <is>
          <t>UKCo</t>
        </is>
      </c>
      <c r="D84" t="inlineStr">
        <is>
          <t>CC-140</t>
        </is>
      </c>
      <c r="E84" t="inlineStr">
        <is>
          <t>equity</t>
        </is>
      </c>
      <c r="F84" s="3" t="n">
        <v>45353</v>
      </c>
    </row>
    <row r="85">
      <c r="A85" t="inlineStr">
        <is>
          <t>00084</t>
        </is>
      </c>
      <c r="B85" t="inlineStr">
        <is>
          <t>Client 084 Holdings</t>
        </is>
      </c>
      <c r="C85" t="inlineStr">
        <is>
          <t>DubCo</t>
        </is>
      </c>
      <c r="D85" t="inlineStr">
        <is>
          <t>CC-150</t>
        </is>
      </c>
      <c r="E85" t="inlineStr">
        <is>
          <t xml:space="preserve"> fixed income</t>
        </is>
      </c>
      <c r="F85" s="3" t="n">
        <v>45354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sheetData>
    <row r="1">
      <c r="A1" s="1" t="inlineStr">
        <is>
          <t>legal_entity</t>
        </is>
      </c>
      <c r="B1" s="1" t="inlineStr">
        <is>
          <t>october_gbp</t>
        </is>
      </c>
      <c r="C1" s="1" t="inlineStr">
        <is>
          <t>november_gbp</t>
        </is>
      </c>
      <c r="D1" s="1" t="inlineStr">
        <is>
          <t>variance_gbp</t>
        </is>
      </c>
      <c r="E1" s="1" t="inlineStr">
        <is>
          <t>commentary</t>
        </is>
      </c>
      <c r="F1" s="1" t="inlineStr">
        <is>
          <t>variance_pct</t>
        </is>
      </c>
      <c r="G1" s="1" t="inlineStr">
        <is>
          <t>flag</t>
        </is>
      </c>
    </row>
    <row r="2">
      <c r="A2" t="inlineStr">
        <is>
          <t>LuxCo</t>
        </is>
      </c>
      <c r="B2" t="n">
        <v>412880.44</v>
      </c>
      <c r="C2">
        <f>SUMIF(Allocation!$B:$B,$A2,Allocation!$E:$E)</f>
        <v>2449100.34</v>
      </c>
      <c r="D2">
        <f>C2-B2</f>
        <v>2036219.9</v>
      </c>
      <c r="E2" t="inlineStr">
        <is>
          <t>Transfer in from the Geneva book; expected.</t>
        </is>
      </c>
      <c r="F2">
        <f>IFERROR(D2/B2,0)</f>
        <v>4.931742225424871</v>
      </c>
      <c r="G2" t="str">
        <f>IF(ABS(F2)&gt;0.05,"REVIEW","")</f>
        <v>REVIEW</v>
      </c>
    </row>
    <row r="3">
      <c r="A3" t="inlineStr">
        <is>
          <t>UKCo</t>
        </is>
      </c>
      <c r="B3" t="n">
        <v>388100.02</v>
      </c>
      <c r="C3">
        <f>SUMIF(Allocation!$B:$B,$A3,Allocation!$E:$E)</f>
        <v>2843188.09</v>
      </c>
      <c r="D3">
        <f>C3-B3</f>
        <v>2455088.07</v>
      </c>
      <c r="E3" t="inlineStr">
        <is>
          <t>Two mandates closed in October.</t>
        </is>
      </c>
      <c r="F3">
        <f>IFERROR(D3/B3,0)</f>
        <v>6.325915855402429</v>
      </c>
      <c r="G3" t="str">
        <f>IF(ABS(F3)&gt;0.05,"REVIEW","")</f>
        <v>REVIEW</v>
      </c>
    </row>
    <row r="4">
      <c r="A4" t="inlineStr">
        <is>
          <t>DubCo</t>
        </is>
      </c>
      <c r="B4" t="n">
        <v>205990.18</v>
      </c>
      <c r="C4">
        <f>SUMIF(Allocation!$B:$B,$A4,Allocation!$E:$E)</f>
        <v>2628747.32</v>
      </c>
      <c r="D4">
        <f>C4-B4</f>
        <v>2422757.1399999997</v>
      </c>
      <c r="E4" t="inlineStr">
        <is>
          <t>Unexplained. Raised with the desk 2026-11-04.</t>
        </is>
      </c>
      <c r="F4">
        <f>IFERROR(D4/B4,0)</f>
        <v>11.761517660696251</v>
      </c>
      <c r="G4" t="str">
        <f>IF(ABS(F4)&gt;0.05,"REVIEW","")</f>
        <v>REVIEW</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s="4" t="inlineStr">
        <is>
          <t>Management fee billing run -- sign-off</t>
        </is>
      </c>
    </row>
    <row r="3">
      <c r="A3" s="1" t="inlineStr">
        <is>
          <t>Purpose</t>
        </is>
      </c>
    </row>
    <row r="4">
      <c r="A4" s="5" t="inlineStr">
        <is>
          <t>Calculate the management fee owed by each client for the month, apply the agreed floors, caps and discounts, allocate the result to the legal entity and cost centre that will carry it, and post the invoices to the ledger.</t>
        </is>
      </c>
    </row>
    <row r="6">
      <c r="A6" s="1" t="inlineStr">
        <is>
          <t>Background</t>
        </is>
      </c>
    </row>
    <row r="7">
      <c r="A7" s="5" t="inlineStr">
        <is>
          <t>The tiered schedule replaced a flat 26bps rate in January 2024. The old columns are still in the Working tab because the 2024 comparatives were needed for the audit; nothing reads them now.</t>
        </is>
      </c>
    </row>
    <row r="9">
      <c r="A9" s="1" t="inlineStr">
        <is>
          <t>Known issues</t>
        </is>
      </c>
    </row>
    <row r="10">
      <c r="A10" s="5" t="inlineStr">
        <is>
          <t>The Allocation tab is left on manual calculation because recalculating it over a full extract takes several minutes, so its figures are from before the overrides were agreed and do not match the Working tab. Recalculate before relying on them. Three clients have agreed fees that override the calculation -- see the Overrides tab, and confirm each one still applies before posting.</t>
        </is>
      </c>
    </row>
    <row r="12">
      <c r="A12" s="1" t="inlineStr">
        <is>
          <t>Cadence</t>
        </is>
      </c>
    </row>
    <row r="13">
      <c r="A13" s="5" t="inlineStr">
        <is>
          <t>Monthly, on the third working day, after the position extract has been signed off by Middle 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
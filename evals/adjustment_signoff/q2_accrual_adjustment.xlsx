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connections.xml" ContentType="application/vnd.openxmlformats-officedocument.spreadsheetml.connection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off" sheetId="1" state="visible" r:id="rId1"/>
    <sheet xmlns:r="http://schemas.openxmlformats.org/officeDocument/2006/relationships" name="Pre-Adjustment" sheetId="2" state="visible" r:id="rId2"/>
    <sheet xmlns:r="http://schemas.openxmlformats.org/officeDocument/2006/relationships" name="Adjustment" sheetId="3" state="visible" r:id="rId3"/>
    <sheet xmlns:r="http://schemas.openxmlformats.org/officeDocument/2006/relationships" name="Post-Adjustment" sheetId="4" state="visible" r:id="rId4"/>
  </sheets>
  <definedNames>
    <definedName name="uplift_rate">Adjustment!$B$4</definedName>
  </definedNames>
  <calcPr calcId="124519" fullCalcOnLoad="1"/>
</workbook>
</file>

<file path=xl/connections.xml><?xml version="1.0" encoding="utf-8"?>
<connections xmlns="http://schemas.openxmlformats.org/spreadsheetml/2006/main">
  <connection id="1" name="AccrualExtract" type="1" refreshedVersion="8" minRefreshableVersion="3" background="1" saveData="1" description="Statutory accrual position at period end">
    <dbPr connection="ODBC;DSN=FinanceWarehouse;Description=Finance Warehouse (PROD);UID=svc_finread;Trusted_Connection=Yes;APP=Microsoft Office 2016;WSID=LDN-FIN-118;DATABASE=FinanceWarehouse" command="SELECT&#10;    a.trade_id,&#10;    a.entity_id,&#10;    e.entity_name,&#10;    a.cost_centre,&#10;    a.accrual_gbp,&#10;    a.period_end,&#10;    a.status&#10;FROM fin.accruals AS a&#10;INNER JOIN fin.entities AS e&#10;    ON e.entity_id = a.entity_id&#10;WHERE a.period_end = '2026-06-30'&#10;  AND a.ledger = 'STATUTORY'&#10;ORDER BY a.entity_id, a.trade_id" commandType="2"/>
  </connection>
</connections>
</file>

<file path=xl/styles.xml><?xml version="1.0" encoding="utf-8"?>
<styleSheet xmlns="http://schemas.openxmlformats.org/spreadsheetml/2006/main">
  <numFmts count="3">
    <numFmt numFmtId="164" formatCode="yyyy-mm-dd"/>
    <numFmt numFmtId="165" formatCode="dd/mm/yyyy"/>
    <numFmt numFmtId="166" formatCode="0.0%"/>
  </numFmts>
  <fonts count="4">
    <font>
      <name val="Calibri"/>
      <family val="2"/>
      <color theme="1"/>
      <sz val="11"/>
      <scheme val="minor"/>
    </font>
    <font>
      <b val="1"/>
      <sz val="14"/>
    </font>
    <font>
      <b val="1"/>
    </font>
    <font>
      <name val="Consolas"/>
      <sz val="9"/>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4" fontId="0" fillId="0" borderId="0" pivotButton="0" quotePrefix="0" xfId="0"/>
    <xf numFmtId="165" fontId="0" fillId="0" borderId="0" pivotButton="0" quotePrefix="0" xfId="0"/>
    <xf numFmtId="0" fontId="3" fillId="0" borderId="0" pivotButton="0" quotePrefix="0" xfId="0"/>
    <xf numFmtId="0" fontId="2" fillId="2" borderId="0" pivotButton="0" quotePrefix="0" xfId="0"/>
    <xf numFmtId="164"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 Type="http://schemas.openxmlformats.org/officeDocument/2006/relationships/connections" Target="connections.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20" customWidth="1" min="2" max="2"/>
    <col width="20" customWidth="1" min="3" max="3"/>
    <col width="20" customWidth="1" min="4" max="4"/>
  </cols>
  <sheetData>
    <row r="1">
      <c r="A1" s="1" t="inlineStr">
        <is>
          <t>Q2 2026 statutory accrual adjustment - sign-off</t>
        </is>
      </c>
    </row>
    <row r="3">
      <c r="A3" s="2" t="inlineStr">
        <is>
          <t>Purpose</t>
        </is>
      </c>
    </row>
    <row r="4">
      <c r="A4" s="3" t="inlineStr">
        <is>
          <t>To record the Q2 2026 uplift applied to statutory accruals following the reforecast agreed at the June finance committee, and to evidence that the adjustment was applied as approved.</t>
        </is>
      </c>
    </row>
    <row r="6">
      <c r="A6" s="2" t="inlineStr">
        <is>
          <t>Background</t>
        </is>
      </c>
    </row>
    <row r="7">
      <c r="A7" s="3" t="inlineStr">
        <is>
          <t>The June reforecast moved the accrual basis for the affected entities from the 2025 rate card to the 2026 one. Finance agreed a flat 4.5% uplift as the practical equivalent, to be applied to statutory-ledger accruals at 30 June 2026 only. Management accounts are unaffected.</t>
        </is>
      </c>
    </row>
    <row r="9">
      <c r="A9" s="2" t="inlineStr">
        <is>
          <t>What was done</t>
        </is>
      </c>
    </row>
    <row r="10">
      <c r="A10" s="3" t="inlineStr">
        <is>
          <t>The pre-adjustment position was extracted from the finance warehouse (see the Pre-Adjustment tab, which carries the query). The uplift was calculated per trade on the Adjustment tab and applied to the three affected entities by the update statement recorded there. The position was then re-extracted using the same query to confirm the update had taken effect.</t>
        </is>
      </c>
    </row>
    <row r="12">
      <c r="A12" s="2" t="inlineStr">
        <is>
          <t>Scope</t>
        </is>
      </c>
    </row>
    <row r="13">
      <c r="A13" s="3" t="inlineStr">
        <is>
          <t>Entities E-04, E-07, E-09 and E-12. Statutory ledger only. Period end 30 June 2026. Cancelled trades are excluded.</t>
        </is>
      </c>
    </row>
    <row r="15">
      <c r="A15" s="2" t="inlineStr">
        <is>
          <t>Known issues</t>
        </is>
      </c>
    </row>
    <row r="16">
      <c r="A16" s="3" t="inlineStr">
        <is>
          <t>One trade carries no accrual value in the source system pending a cost-centre reallocation. It is shown at nil and will be picked up in Q3.</t>
        </is>
      </c>
    </row>
    <row r="18">
      <c r="A18" s="2" t="inlineStr">
        <is>
          <t>Impact summary</t>
        </is>
      </c>
    </row>
    <row r="19">
      <c r="A19" s="2" t="inlineStr">
        <is>
          <t>Measure</t>
        </is>
      </c>
      <c r="B19" s="2" t="inlineStr">
        <is>
          <t>Before</t>
        </is>
      </c>
      <c r="C19" s="2" t="inlineStr">
        <is>
          <t>After</t>
        </is>
      </c>
      <c r="D19" s="2" t="inlineStr">
        <is>
          <t>Movement</t>
        </is>
      </c>
    </row>
    <row r="20">
      <c r="A20" t="inlineStr">
        <is>
          <t>In-scope accruals (GBP)</t>
        </is>
      </c>
      <c r="B20" s="4" t="n">
        <v>19649058.01</v>
      </c>
      <c r="C20" s="4" t="n">
        <v>20522427.93</v>
      </c>
      <c r="D20" s="4" t="n">
        <v>873369.92</v>
      </c>
    </row>
    <row r="22">
      <c r="A22" s="2" t="inlineStr">
        <is>
          <t>Rows adjusted</t>
        </is>
      </c>
      <c r="B22" t="n">
        <v>74</v>
      </c>
    </row>
    <row r="24">
      <c r="A24" s="2" t="inlineStr">
        <is>
          <t>Sign-off</t>
        </is>
      </c>
    </row>
    <row r="25">
      <c r="A25" t="inlineStr">
        <is>
          <t>Prepared by</t>
        </is>
      </c>
      <c r="B25" t="inlineStr">
        <is>
          <t>R. Advani, Financial Control</t>
        </is>
      </c>
    </row>
    <row r="26">
      <c r="A26" t="inlineStr">
        <is>
          <t>Reviewed by</t>
        </is>
      </c>
      <c r="B26" t="inlineStr">
        <is>
          <t>M. Okafor, Head of Statutory Reporting</t>
        </is>
      </c>
    </row>
    <row r="27">
      <c r="A27" t="inlineStr">
        <is>
          <t>Date</t>
        </is>
      </c>
      <c r="B27" s="5" t="n">
        <v>46217</v>
      </c>
    </row>
    <row r="28">
      <c r="A28" t="inlineStr">
        <is>
          <t>Control reference</t>
        </is>
      </c>
      <c r="B28" t="inlineStr">
        <is>
          <t>FC-Q2-2026-014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8"/>
  <sheetViews>
    <sheetView workbookViewId="0">
      <selection activeCell="A1" sqref="A1"/>
    </sheetView>
  </sheetViews>
  <sheetFormatPr baseColWidth="8" defaultRowHeight="15"/>
  <cols>
    <col width="14" customWidth="1" min="1" max="1"/>
    <col width="24" customWidth="1" min="3" max="3"/>
    <col width="15" customWidth="1" min="5" max="5"/>
    <col width="12" customWidth="1" min="6" max="6"/>
  </cols>
  <sheetData>
    <row r="1">
      <c r="A1" s="1" t="inlineStr">
        <is>
          <t>Pre-adjustment extract</t>
        </is>
      </c>
    </row>
    <row r="2">
      <c r="A2" t="inlineStr">
        <is>
          <t>Source: FinanceWarehouse (ODBC), connection 'AccrualExtract'</t>
        </is>
      </c>
    </row>
    <row r="3">
      <c r="A3" s="2" t="inlineStr">
        <is>
          <t>Query - run this to reproduce:</t>
        </is>
      </c>
    </row>
    <row r="4">
      <c r="A4" s="6" t="inlineStr">
        <is>
          <t>SELECT</t>
        </is>
      </c>
    </row>
    <row r="5">
      <c r="A5" s="6" t="inlineStr">
        <is>
          <t xml:space="preserve">    a.trade_id,</t>
        </is>
      </c>
    </row>
    <row r="6">
      <c r="A6" s="6" t="inlineStr">
        <is>
          <t xml:space="preserve">    a.entity_id,</t>
        </is>
      </c>
    </row>
    <row r="7">
      <c r="A7" s="6" t="inlineStr">
        <is>
          <t xml:space="preserve">    e.entity_name,</t>
        </is>
      </c>
    </row>
    <row r="8">
      <c r="A8" s="6" t="inlineStr">
        <is>
          <t xml:space="preserve">    a.cost_centre,</t>
        </is>
      </c>
    </row>
    <row r="9">
      <c r="A9" s="6" t="inlineStr">
        <is>
          <t xml:space="preserve">    a.accrual_gbp,</t>
        </is>
      </c>
    </row>
    <row r="10">
      <c r="A10" s="6" t="inlineStr">
        <is>
          <t xml:space="preserve">    a.period_end,</t>
        </is>
      </c>
    </row>
    <row r="11">
      <c r="A11" s="6" t="inlineStr">
        <is>
          <t xml:space="preserve">    a.status</t>
        </is>
      </c>
    </row>
    <row r="12">
      <c r="A12" s="6" t="inlineStr">
        <is>
          <t>FROM fin.accruals AS a</t>
        </is>
      </c>
    </row>
    <row r="13">
      <c r="A13" s="6" t="inlineStr">
        <is>
          <t>INNER JOIN fin.entities AS e</t>
        </is>
      </c>
    </row>
    <row r="14">
      <c r="A14" s="6" t="inlineStr">
        <is>
          <t xml:space="preserve">    ON e.entity_id = a.entity_id</t>
        </is>
      </c>
    </row>
    <row r="15">
      <c r="A15" s="6" t="inlineStr">
        <is>
          <t>WHERE a.period_end = '2026-06-30'</t>
        </is>
      </c>
    </row>
    <row r="16">
      <c r="A16" s="6" t="inlineStr">
        <is>
          <t xml:space="preserve">  AND a.ledger = 'STATUTORY'</t>
        </is>
      </c>
    </row>
    <row r="17">
      <c r="A17" s="6" t="inlineStr">
        <is>
          <t>ORDER BY a.entity_id, a.trade_id</t>
        </is>
      </c>
    </row>
    <row r="18">
      <c r="A18" s="7" t="inlineStr">
        <is>
          <t>trade_id</t>
        </is>
      </c>
      <c r="B18" s="7" t="inlineStr">
        <is>
          <t>entity_id</t>
        </is>
      </c>
      <c r="C18" s="7" t="inlineStr">
        <is>
          <t>entity_name</t>
        </is>
      </c>
      <c r="D18" s="7" t="inlineStr">
        <is>
          <t>cost_centre</t>
        </is>
      </c>
      <c r="E18" s="7" t="inlineStr">
        <is>
          <t>accrual_gbp</t>
        </is>
      </c>
      <c r="F18" s="7" t="inlineStr">
        <is>
          <t>period_end</t>
        </is>
      </c>
      <c r="G18" s="7" t="inlineStr">
        <is>
          <t>status</t>
        </is>
      </c>
    </row>
    <row r="19">
      <c r="A19" t="inlineStr">
        <is>
          <t>ACC-00001</t>
        </is>
      </c>
      <c r="B19" t="inlineStr">
        <is>
          <t>E-04</t>
        </is>
      </c>
      <c r="C19" t="inlineStr">
        <is>
          <t>Northgate Holdings</t>
        </is>
      </c>
      <c r="D19" t="inlineStr">
        <is>
          <t>CC-3050</t>
        </is>
      </c>
      <c r="E19" s="4" t="n"/>
      <c r="F19" s="8" t="n">
        <v>46203</v>
      </c>
      <c r="G19" t="inlineStr">
        <is>
          <t>POSTED</t>
        </is>
      </c>
    </row>
    <row r="20">
      <c r="A20" t="inlineStr">
        <is>
          <t>ACC-00002</t>
        </is>
      </c>
      <c r="B20" t="inlineStr">
        <is>
          <t>E-04</t>
        </is>
      </c>
      <c r="C20" t="inlineStr">
        <is>
          <t>Northgate Holdings</t>
        </is>
      </c>
      <c r="D20" t="inlineStr">
        <is>
          <t>CC-3900</t>
        </is>
      </c>
      <c r="E20" s="4" t="n">
        <v>205878.9</v>
      </c>
      <c r="F20" s="8" t="n">
        <v>46203</v>
      </c>
      <c r="G20" t="inlineStr">
        <is>
          <t>POSTED</t>
        </is>
      </c>
    </row>
    <row r="21">
      <c r="A21" t="inlineStr">
        <is>
          <t>ACC-00003</t>
        </is>
      </c>
      <c r="B21" t="inlineStr">
        <is>
          <t>E-04</t>
        </is>
      </c>
      <c r="C21" t="inlineStr">
        <is>
          <t>Northgate Holdings</t>
        </is>
      </c>
      <c r="D21" t="inlineStr">
        <is>
          <t>CC-3900</t>
        </is>
      </c>
      <c r="E21" s="4" t="n">
        <v>277203.34</v>
      </c>
      <c r="F21" s="8" t="n">
        <v>46203</v>
      </c>
      <c r="G21" t="inlineStr">
        <is>
          <t>POSTED</t>
        </is>
      </c>
    </row>
    <row r="22">
      <c r="A22" t="inlineStr">
        <is>
          <t>ACC-00004</t>
        </is>
      </c>
      <c r="B22" t="inlineStr">
        <is>
          <t>E-04</t>
        </is>
      </c>
      <c r="C22" t="inlineStr">
        <is>
          <t>Northgate Holdings</t>
        </is>
      </c>
      <c r="D22" t="inlineStr">
        <is>
          <t>CC-2400</t>
        </is>
      </c>
      <c r="E22" s="4" t="n">
        <v>11122.9</v>
      </c>
      <c r="F22" s="8" t="n">
        <v>46203</v>
      </c>
      <c r="G22" t="inlineStr">
        <is>
          <t>CANCELLED</t>
        </is>
      </c>
    </row>
    <row r="23">
      <c r="A23" t="inlineStr">
        <is>
          <t>ACC-00005</t>
        </is>
      </c>
      <c r="B23" t="inlineStr">
        <is>
          <t>E-04</t>
        </is>
      </c>
      <c r="C23" t="inlineStr">
        <is>
          <t>Northgate Holdings</t>
        </is>
      </c>
      <c r="D23" t="inlineStr">
        <is>
          <t>CC-3900</t>
        </is>
      </c>
      <c r="E23" s="4" t="n">
        <v>367696.32</v>
      </c>
      <c r="F23" s="8" t="n">
        <v>46203</v>
      </c>
      <c r="G23" t="inlineStr">
        <is>
          <t>POSTED</t>
        </is>
      </c>
    </row>
    <row r="24">
      <c r="A24" t="inlineStr">
        <is>
          <t>ACC-00006</t>
        </is>
      </c>
      <c r="B24" t="inlineStr">
        <is>
          <t>E-04</t>
        </is>
      </c>
      <c r="C24" t="inlineStr">
        <is>
          <t>Northgate Holdings</t>
        </is>
      </c>
      <c r="D24" t="inlineStr">
        <is>
          <t>CC-3050</t>
        </is>
      </c>
      <c r="E24" s="4" t="n">
        <v>40214.14</v>
      </c>
      <c r="F24" s="8" t="n">
        <v>46203</v>
      </c>
      <c r="G24" t="inlineStr">
        <is>
          <t>POSTED</t>
        </is>
      </c>
    </row>
    <row r="25">
      <c r="A25" t="inlineStr">
        <is>
          <t>ACC-00007</t>
        </is>
      </c>
      <c r="B25" t="inlineStr">
        <is>
          <t>E-04</t>
        </is>
      </c>
      <c r="C25" t="inlineStr">
        <is>
          <t>Northgate Holdings</t>
        </is>
      </c>
      <c r="D25" t="inlineStr">
        <is>
          <t>CC-1100</t>
        </is>
      </c>
      <c r="E25" s="4" t="n">
        <v>468934.53</v>
      </c>
      <c r="F25" s="8" t="n">
        <v>46203</v>
      </c>
      <c r="G25" t="inlineStr">
        <is>
          <t>POSTED</t>
        </is>
      </c>
    </row>
    <row r="26">
      <c r="A26" t="inlineStr">
        <is>
          <t>ACC-00008</t>
        </is>
      </c>
      <c r="B26" t="inlineStr">
        <is>
          <t>E-04</t>
        </is>
      </c>
      <c r="C26" t="inlineStr">
        <is>
          <t>Northgate Holdings</t>
        </is>
      </c>
      <c r="D26" t="inlineStr">
        <is>
          <t>CC-1200</t>
        </is>
      </c>
      <c r="E26" s="4" t="n">
        <v>354485.06</v>
      </c>
      <c r="F26" s="8" t="n">
        <v>46203</v>
      </c>
      <c r="G26" t="inlineStr">
        <is>
          <t>POSTED</t>
        </is>
      </c>
    </row>
    <row r="27">
      <c r="A27" t="inlineStr">
        <is>
          <t>ACC-00009</t>
        </is>
      </c>
      <c r="B27" t="inlineStr">
        <is>
          <t>E-04</t>
        </is>
      </c>
      <c r="C27" t="inlineStr">
        <is>
          <t>Northgate Holdings</t>
        </is>
      </c>
      <c r="D27" t="inlineStr">
        <is>
          <t>CC-1200</t>
        </is>
      </c>
      <c r="E27" s="4" t="n">
        <v>255329.73</v>
      </c>
      <c r="F27" s="8" t="n">
        <v>46203</v>
      </c>
      <c r="G27" t="inlineStr">
        <is>
          <t>POSTED</t>
        </is>
      </c>
    </row>
    <row r="28">
      <c r="A28" t="inlineStr">
        <is>
          <t>ACC-00010</t>
        </is>
      </c>
      <c r="B28" t="inlineStr">
        <is>
          <t>E-04</t>
        </is>
      </c>
      <c r="C28" t="inlineStr">
        <is>
          <t>Northgate Holdings</t>
        </is>
      </c>
      <c r="D28" t="inlineStr">
        <is>
          <t>CC-3050</t>
        </is>
      </c>
      <c r="E28" s="4" t="n">
        <v>101519.79</v>
      </c>
      <c r="F28" s="8" t="n">
        <v>46203</v>
      </c>
      <c r="G28" t="inlineStr">
        <is>
          <t>POSTED</t>
        </is>
      </c>
    </row>
    <row r="29">
      <c r="A29" t="inlineStr">
        <is>
          <t>ACC-00011</t>
        </is>
      </c>
      <c r="B29" t="inlineStr">
        <is>
          <t>E-04</t>
        </is>
      </c>
      <c r="C29" t="inlineStr">
        <is>
          <t>Northgate Holdings</t>
        </is>
      </c>
      <c r="D29" t="inlineStr">
        <is>
          <t>CC-1200</t>
        </is>
      </c>
      <c r="E29" s="4" t="n">
        <v>241113.07</v>
      </c>
      <c r="F29" s="8" t="n">
        <v>46203</v>
      </c>
      <c r="G29" t="inlineStr">
        <is>
          <t>POSTED</t>
        </is>
      </c>
    </row>
    <row r="30">
      <c r="A30" t="inlineStr">
        <is>
          <t>ACC-00012</t>
        </is>
      </c>
      <c r="B30" t="inlineStr">
        <is>
          <t>E-04</t>
        </is>
      </c>
      <c r="C30" t="inlineStr">
        <is>
          <t>Northgate Holdings</t>
        </is>
      </c>
      <c r="D30" t="inlineStr">
        <is>
          <t>CC-1100</t>
        </is>
      </c>
      <c r="E30" s="4" t="n">
        <v>391161.5</v>
      </c>
      <c r="F30" s="8" t="n">
        <v>46203</v>
      </c>
      <c r="G30" t="inlineStr">
        <is>
          <t>POSTED</t>
        </is>
      </c>
    </row>
    <row r="31">
      <c r="A31" t="inlineStr">
        <is>
          <t>ACC-00013</t>
        </is>
      </c>
      <c r="B31" t="inlineStr">
        <is>
          <t>E-04</t>
        </is>
      </c>
      <c r="C31" t="inlineStr">
        <is>
          <t>Northgate Holdings</t>
        </is>
      </c>
      <c r="D31" t="inlineStr">
        <is>
          <t>CC-3900</t>
        </is>
      </c>
      <c r="E31" s="4" t="n">
        <v>431131.75</v>
      </c>
      <c r="F31" s="8" t="n">
        <v>46203</v>
      </c>
      <c r="G31" t="inlineStr">
        <is>
          <t>POSTED</t>
        </is>
      </c>
    </row>
    <row r="32">
      <c r="A32" t="inlineStr">
        <is>
          <t>ACC-00014</t>
        </is>
      </c>
      <c r="B32" t="inlineStr">
        <is>
          <t>E-04</t>
        </is>
      </c>
      <c r="C32" t="inlineStr">
        <is>
          <t>Northgate Holdings</t>
        </is>
      </c>
      <c r="D32" t="inlineStr">
        <is>
          <t>CC-1100</t>
        </is>
      </c>
      <c r="E32" s="4" t="n">
        <v>298714.8</v>
      </c>
      <c r="F32" s="8" t="n">
        <v>46203</v>
      </c>
      <c r="G32" t="inlineStr">
        <is>
          <t>POSTED</t>
        </is>
      </c>
    </row>
    <row r="33">
      <c r="A33" t="inlineStr">
        <is>
          <t>ACC-00015</t>
        </is>
      </c>
      <c r="B33" t="inlineStr">
        <is>
          <t>E-04</t>
        </is>
      </c>
      <c r="C33" t="inlineStr">
        <is>
          <t>Northgate Holdings</t>
        </is>
      </c>
      <c r="D33" t="inlineStr">
        <is>
          <t>CC-1100</t>
        </is>
      </c>
      <c r="E33" s="4" t="n">
        <v>282345.87</v>
      </c>
      <c r="F33" s="8" t="n">
        <v>46203</v>
      </c>
      <c r="G33" t="inlineStr">
        <is>
          <t>POSTED</t>
        </is>
      </c>
    </row>
    <row r="34">
      <c r="A34" t="inlineStr">
        <is>
          <t>ACC-00016</t>
        </is>
      </c>
      <c r="B34" t="inlineStr">
        <is>
          <t>E-04</t>
        </is>
      </c>
      <c r="C34" t="inlineStr">
        <is>
          <t>Northgate Holdings</t>
        </is>
      </c>
      <c r="D34" t="inlineStr">
        <is>
          <t>CC-1100</t>
        </is>
      </c>
      <c r="E34" s="4" t="n">
        <v>371666.07</v>
      </c>
      <c r="F34" s="8" t="n">
        <v>46203</v>
      </c>
      <c r="G34" t="inlineStr">
        <is>
          <t>POSTED</t>
        </is>
      </c>
    </row>
    <row r="35">
      <c r="A35" t="inlineStr">
        <is>
          <t>ACC-00017</t>
        </is>
      </c>
      <c r="B35" t="inlineStr">
        <is>
          <t>E-04</t>
        </is>
      </c>
      <c r="C35" t="inlineStr">
        <is>
          <t>Northgate Holdings</t>
        </is>
      </c>
      <c r="D35" t="inlineStr">
        <is>
          <t>CC-3900</t>
        </is>
      </c>
      <c r="E35" s="4" t="n">
        <v>325472.72</v>
      </c>
      <c r="F35" s="8" t="n">
        <v>46203</v>
      </c>
      <c r="G35" t="inlineStr">
        <is>
          <t>POSTED</t>
        </is>
      </c>
    </row>
    <row r="36">
      <c r="A36" t="inlineStr">
        <is>
          <t>ACC-00018</t>
        </is>
      </c>
      <c r="B36" t="inlineStr">
        <is>
          <t>E-04</t>
        </is>
      </c>
      <c r="C36" t="inlineStr">
        <is>
          <t>Northgate Holdings</t>
        </is>
      </c>
      <c r="D36" t="inlineStr">
        <is>
          <t>CC-3050</t>
        </is>
      </c>
      <c r="E36" s="4" t="n">
        <v>320335.72</v>
      </c>
      <c r="F36" s="8" t="n">
        <v>46203</v>
      </c>
      <c r="G36" t="inlineStr">
        <is>
          <t>POSTED</t>
        </is>
      </c>
    </row>
    <row r="37">
      <c r="A37" t="inlineStr">
        <is>
          <t>ACC-00019</t>
        </is>
      </c>
      <c r="B37" t="inlineStr">
        <is>
          <t>E-04</t>
        </is>
      </c>
      <c r="C37" t="inlineStr">
        <is>
          <t>Northgate Holdings</t>
        </is>
      </c>
      <c r="D37" t="inlineStr">
        <is>
          <t>CC-3900</t>
        </is>
      </c>
      <c r="E37" s="4" t="n">
        <v>101855.43</v>
      </c>
      <c r="F37" s="8" t="n">
        <v>46203</v>
      </c>
      <c r="G37" t="inlineStr">
        <is>
          <t>POSTED</t>
        </is>
      </c>
    </row>
    <row r="38">
      <c r="A38" t="inlineStr">
        <is>
          <t>ACC-00020</t>
        </is>
      </c>
      <c r="B38" t="inlineStr">
        <is>
          <t>E-04</t>
        </is>
      </c>
      <c r="C38" t="inlineStr">
        <is>
          <t>Northgate Holdings</t>
        </is>
      </c>
      <c r="D38" t="inlineStr">
        <is>
          <t>CC-2400</t>
        </is>
      </c>
      <c r="E38" s="4" t="n">
        <v>307249.6</v>
      </c>
      <c r="F38" s="8" t="n">
        <v>46203</v>
      </c>
      <c r="G38" t="inlineStr">
        <is>
          <t>POSTED</t>
        </is>
      </c>
    </row>
    <row r="39">
      <c r="A39" t="inlineStr">
        <is>
          <t>ACC-00021</t>
        </is>
      </c>
      <c r="B39" t="inlineStr">
        <is>
          <t>E-07</t>
        </is>
      </c>
      <c r="C39" t="inlineStr">
        <is>
          <t>Brightwater Marine</t>
        </is>
      </c>
      <c r="D39" t="inlineStr">
        <is>
          <t>CC-3050</t>
        </is>
      </c>
      <c r="E39" s="4" t="n">
        <v>200435.1</v>
      </c>
      <c r="F39" s="8" t="n">
        <v>46203</v>
      </c>
      <c r="G39" t="inlineStr">
        <is>
          <t>POSTED</t>
        </is>
      </c>
    </row>
    <row r="40">
      <c r="A40" t="inlineStr">
        <is>
          <t>ACC-00022</t>
        </is>
      </c>
      <c r="B40" t="inlineStr">
        <is>
          <t>E-07</t>
        </is>
      </c>
      <c r="C40" t="inlineStr">
        <is>
          <t>Brightwater Marine</t>
        </is>
      </c>
      <c r="D40" t="inlineStr">
        <is>
          <t>CC-3900</t>
        </is>
      </c>
      <c r="E40" s="4" t="n">
        <v>381613.4</v>
      </c>
      <c r="F40" s="8" t="n">
        <v>46203</v>
      </c>
      <c r="G40" t="inlineStr">
        <is>
          <t>POSTED</t>
        </is>
      </c>
    </row>
    <row r="41">
      <c r="A41" t="inlineStr">
        <is>
          <t>ACC-00023</t>
        </is>
      </c>
      <c r="B41" t="inlineStr">
        <is>
          <t>E-07</t>
        </is>
      </c>
      <c r="C41" t="inlineStr">
        <is>
          <t>Brightwater Marine</t>
        </is>
      </c>
      <c r="D41" t="inlineStr">
        <is>
          <t>CC-1200</t>
        </is>
      </c>
      <c r="E41" s="4" t="n">
        <v>116541.12</v>
      </c>
      <c r="F41" s="8" t="n">
        <v>46203</v>
      </c>
      <c r="G41" t="inlineStr">
        <is>
          <t>POSTED</t>
        </is>
      </c>
    </row>
    <row r="42">
      <c r="A42" t="inlineStr">
        <is>
          <t>ACC-00024</t>
        </is>
      </c>
      <c r="B42" t="inlineStr">
        <is>
          <t>E-07</t>
        </is>
      </c>
      <c r="C42" t="inlineStr">
        <is>
          <t>Brightwater Marine</t>
        </is>
      </c>
      <c r="D42" t="inlineStr">
        <is>
          <t>CC-3050</t>
        </is>
      </c>
      <c r="E42" s="4" t="n">
        <v>420994.97</v>
      </c>
      <c r="F42" s="8" t="n">
        <v>46203</v>
      </c>
      <c r="G42" t="inlineStr">
        <is>
          <t>CANCELLED</t>
        </is>
      </c>
    </row>
    <row r="43">
      <c r="A43" t="inlineStr">
        <is>
          <t>ACC-00025</t>
        </is>
      </c>
      <c r="B43" t="inlineStr">
        <is>
          <t>E-07</t>
        </is>
      </c>
      <c r="C43" t="inlineStr">
        <is>
          <t>Brightwater Marine</t>
        </is>
      </c>
      <c r="D43" t="inlineStr">
        <is>
          <t>CC-1200</t>
        </is>
      </c>
      <c r="E43" s="4" t="n">
        <v>451064.69</v>
      </c>
      <c r="F43" s="8" t="n">
        <v>46203</v>
      </c>
      <c r="G43" t="inlineStr">
        <is>
          <t>POSTED</t>
        </is>
      </c>
    </row>
    <row r="44">
      <c r="A44" t="inlineStr">
        <is>
          <t>ACC-00026</t>
        </is>
      </c>
      <c r="B44" t="inlineStr">
        <is>
          <t>E-07</t>
        </is>
      </c>
      <c r="C44" t="inlineStr">
        <is>
          <t>Brightwater Marine</t>
        </is>
      </c>
      <c r="D44" t="inlineStr">
        <is>
          <t>CC-3050</t>
        </is>
      </c>
      <c r="E44" s="4" t="n">
        <v>164243.13</v>
      </c>
      <c r="F44" s="8" t="n">
        <v>46203</v>
      </c>
      <c r="G44" t="inlineStr">
        <is>
          <t>POSTED</t>
        </is>
      </c>
    </row>
    <row r="45">
      <c r="A45" t="inlineStr">
        <is>
          <t>ACC-00027</t>
        </is>
      </c>
      <c r="B45" t="inlineStr">
        <is>
          <t>E-07</t>
        </is>
      </c>
      <c r="C45" t="inlineStr">
        <is>
          <t>Brightwater Marine</t>
        </is>
      </c>
      <c r="D45" t="inlineStr">
        <is>
          <t>CC-3050</t>
        </is>
      </c>
      <c r="E45" s="4" t="n">
        <v>267250.48</v>
      </c>
      <c r="F45" s="8" t="n">
        <v>46203</v>
      </c>
      <c r="G45" t="inlineStr">
        <is>
          <t>POSTED</t>
        </is>
      </c>
    </row>
    <row r="46">
      <c r="A46" t="inlineStr">
        <is>
          <t>ACC-00028</t>
        </is>
      </c>
      <c r="B46" t="inlineStr">
        <is>
          <t>E-07</t>
        </is>
      </c>
      <c r="C46" t="inlineStr">
        <is>
          <t>Brightwater Marine</t>
        </is>
      </c>
      <c r="D46" t="inlineStr">
        <is>
          <t>CC-3900</t>
        </is>
      </c>
      <c r="E46" s="4" t="n">
        <v>400275.36</v>
      </c>
      <c r="F46" s="8" t="n">
        <v>46203</v>
      </c>
      <c r="G46" t="inlineStr">
        <is>
          <t>POSTED</t>
        </is>
      </c>
    </row>
    <row r="47">
      <c r="A47" t="inlineStr">
        <is>
          <t>ACC-00029</t>
        </is>
      </c>
      <c r="B47" t="inlineStr">
        <is>
          <t>E-07</t>
        </is>
      </c>
      <c r="C47" t="inlineStr">
        <is>
          <t>Brightwater Marine</t>
        </is>
      </c>
      <c r="D47" t="inlineStr">
        <is>
          <t>CC-3900</t>
        </is>
      </c>
      <c r="E47" s="4" t="n">
        <v>74150.48</v>
      </c>
      <c r="F47" s="8" t="n">
        <v>46203</v>
      </c>
      <c r="G47" t="inlineStr">
        <is>
          <t>POSTED</t>
        </is>
      </c>
    </row>
    <row r="48">
      <c r="A48" t="inlineStr">
        <is>
          <t>ACC-00030</t>
        </is>
      </c>
      <c r="B48" t="inlineStr">
        <is>
          <t>E-07</t>
        </is>
      </c>
      <c r="C48" t="inlineStr">
        <is>
          <t>Brightwater Marine</t>
        </is>
      </c>
      <c r="D48" t="inlineStr">
        <is>
          <t>CC-3050</t>
        </is>
      </c>
      <c r="E48" s="4" t="n">
        <v>187462.59</v>
      </c>
      <c r="F48" s="8" t="n">
        <v>46203</v>
      </c>
      <c r="G48" t="inlineStr">
        <is>
          <t>POSTED</t>
        </is>
      </c>
    </row>
    <row r="49">
      <c r="A49" t="inlineStr">
        <is>
          <t>ACC-00031</t>
        </is>
      </c>
      <c r="B49" t="inlineStr">
        <is>
          <t>E-07</t>
        </is>
      </c>
      <c r="C49" t="inlineStr">
        <is>
          <t>Brightwater Marine</t>
        </is>
      </c>
      <c r="D49" t="inlineStr">
        <is>
          <t>CC-1100</t>
        </is>
      </c>
      <c r="E49" s="4" t="n">
        <v>463000.15</v>
      </c>
      <c r="F49" s="8" t="n">
        <v>46203</v>
      </c>
      <c r="G49" t="inlineStr">
        <is>
          <t>POSTED</t>
        </is>
      </c>
    </row>
    <row r="50">
      <c r="A50" t="inlineStr">
        <is>
          <t>ACC-00032</t>
        </is>
      </c>
      <c r="B50" t="inlineStr">
        <is>
          <t>E-07</t>
        </is>
      </c>
      <c r="C50" t="inlineStr">
        <is>
          <t>Brightwater Marine</t>
        </is>
      </c>
      <c r="D50" t="inlineStr">
        <is>
          <t>CC-1200</t>
        </is>
      </c>
      <c r="E50" s="4" t="n">
        <v>446618.19</v>
      </c>
      <c r="F50" s="8" t="n">
        <v>46203</v>
      </c>
      <c r="G50" t="inlineStr">
        <is>
          <t>POSTED</t>
        </is>
      </c>
    </row>
    <row r="51">
      <c r="A51" t="inlineStr">
        <is>
          <t>ACC-00033</t>
        </is>
      </c>
      <c r="B51" t="inlineStr">
        <is>
          <t>E-07</t>
        </is>
      </c>
      <c r="C51" t="inlineStr">
        <is>
          <t>Brightwater Marine</t>
        </is>
      </c>
      <c r="D51" t="inlineStr">
        <is>
          <t>CC-3050</t>
        </is>
      </c>
      <c r="E51" s="4" t="n">
        <v>200017.73</v>
      </c>
      <c r="F51" s="8" t="n">
        <v>46203</v>
      </c>
      <c r="G51" t="inlineStr">
        <is>
          <t>POSTED</t>
        </is>
      </c>
    </row>
    <row r="52">
      <c r="A52" t="inlineStr">
        <is>
          <t>ACC-00034</t>
        </is>
      </c>
      <c r="B52" t="inlineStr">
        <is>
          <t>E-07</t>
        </is>
      </c>
      <c r="C52" t="inlineStr">
        <is>
          <t>Brightwater Marine</t>
        </is>
      </c>
      <c r="D52" t="inlineStr">
        <is>
          <t>CC-1200</t>
        </is>
      </c>
      <c r="E52" s="4" t="n">
        <v>83011.67999999999</v>
      </c>
      <c r="F52" s="8" t="n">
        <v>46203</v>
      </c>
      <c r="G52" t="inlineStr">
        <is>
          <t>POSTED</t>
        </is>
      </c>
    </row>
    <row r="53">
      <c r="A53" t="inlineStr">
        <is>
          <t>ACC-00035</t>
        </is>
      </c>
      <c r="B53" t="inlineStr">
        <is>
          <t>E-07</t>
        </is>
      </c>
      <c r="C53" t="inlineStr">
        <is>
          <t>Brightwater Marine</t>
        </is>
      </c>
      <c r="D53" t="inlineStr">
        <is>
          <t>CC-1100</t>
        </is>
      </c>
      <c r="E53" s="4" t="n">
        <v>459477.74</v>
      </c>
      <c r="F53" s="8" t="n">
        <v>46203</v>
      </c>
      <c r="G53" t="inlineStr">
        <is>
          <t>POSTED</t>
        </is>
      </c>
    </row>
    <row r="54">
      <c r="A54" t="inlineStr">
        <is>
          <t>ACC-00036</t>
        </is>
      </c>
      <c r="B54" t="inlineStr">
        <is>
          <t>E-07</t>
        </is>
      </c>
      <c r="C54" t="inlineStr">
        <is>
          <t>Brightwater Marine</t>
        </is>
      </c>
      <c r="D54" t="inlineStr">
        <is>
          <t>CC-1200</t>
        </is>
      </c>
      <c r="E54" s="4" t="n">
        <v>207494.76</v>
      </c>
      <c r="F54" s="8" t="n">
        <v>46203</v>
      </c>
      <c r="G54" t="inlineStr">
        <is>
          <t>POSTED</t>
        </is>
      </c>
    </row>
    <row r="55">
      <c r="A55" t="inlineStr">
        <is>
          <t>ACC-00037</t>
        </is>
      </c>
      <c r="B55" t="inlineStr">
        <is>
          <t>E-07</t>
        </is>
      </c>
      <c r="C55" t="inlineStr">
        <is>
          <t>Brightwater Marine</t>
        </is>
      </c>
      <c r="D55" t="inlineStr">
        <is>
          <t>CC-1200</t>
        </is>
      </c>
      <c r="E55" s="4" t="n">
        <v>364661.33</v>
      </c>
      <c r="F55" s="8" t="n">
        <v>46203</v>
      </c>
      <c r="G55" t="inlineStr">
        <is>
          <t>POSTED</t>
        </is>
      </c>
    </row>
    <row r="56">
      <c r="A56" t="inlineStr">
        <is>
          <t>ACC-00038</t>
        </is>
      </c>
      <c r="B56" t="inlineStr">
        <is>
          <t>E-07</t>
        </is>
      </c>
      <c r="C56" t="inlineStr">
        <is>
          <t>Brightwater Marine</t>
        </is>
      </c>
      <c r="D56" t="inlineStr">
        <is>
          <t>CC-3050</t>
        </is>
      </c>
      <c r="E56" s="4" t="n">
        <v>205995.78</v>
      </c>
      <c r="F56" s="8" t="n">
        <v>46203</v>
      </c>
      <c r="G56" t="inlineStr">
        <is>
          <t>POSTED</t>
        </is>
      </c>
    </row>
    <row r="57">
      <c r="A57" t="inlineStr">
        <is>
          <t>ACC-00039</t>
        </is>
      </c>
      <c r="B57" t="inlineStr">
        <is>
          <t>E-07</t>
        </is>
      </c>
      <c r="C57" t="inlineStr">
        <is>
          <t>Brightwater Marine</t>
        </is>
      </c>
      <c r="D57" t="inlineStr">
        <is>
          <t>CC-3050</t>
        </is>
      </c>
      <c r="E57" s="4" t="n">
        <v>235036.75</v>
      </c>
      <c r="F57" s="8" t="n">
        <v>46203</v>
      </c>
      <c r="G57" t="inlineStr">
        <is>
          <t>POSTED</t>
        </is>
      </c>
    </row>
    <row r="58">
      <c r="A58" t="inlineStr">
        <is>
          <t>ACC-00040</t>
        </is>
      </c>
      <c r="B58" t="inlineStr">
        <is>
          <t>E-07</t>
        </is>
      </c>
      <c r="C58" t="inlineStr">
        <is>
          <t>Brightwater Marine</t>
        </is>
      </c>
      <c r="D58" t="inlineStr">
        <is>
          <t>CC-1100</t>
        </is>
      </c>
      <c r="E58" s="4" t="n">
        <v>336090.62</v>
      </c>
      <c r="F58" s="8" t="n">
        <v>46203</v>
      </c>
      <c r="G58" t="inlineStr">
        <is>
          <t>POSTED</t>
        </is>
      </c>
    </row>
    <row r="59">
      <c r="A59" t="inlineStr">
        <is>
          <t>ACC-00041</t>
        </is>
      </c>
      <c r="B59" t="inlineStr">
        <is>
          <t>E-09</t>
        </is>
      </c>
      <c r="C59" t="inlineStr">
        <is>
          <t>O'Brien &amp; Partners</t>
        </is>
      </c>
      <c r="D59" t="inlineStr">
        <is>
          <t>CC-1200</t>
        </is>
      </c>
      <c r="E59" s="4" t="n">
        <v>269365.93</v>
      </c>
      <c r="F59" s="8" t="n">
        <v>46203</v>
      </c>
      <c r="G59" t="inlineStr">
        <is>
          <t>POSTED</t>
        </is>
      </c>
    </row>
    <row r="60">
      <c r="A60" t="inlineStr">
        <is>
          <t>ACC-00042</t>
        </is>
      </c>
      <c r="B60" t="inlineStr">
        <is>
          <t>E-09</t>
        </is>
      </c>
      <c r="C60" t="inlineStr">
        <is>
          <t>O'Brien &amp; Partners</t>
        </is>
      </c>
      <c r="D60" t="inlineStr">
        <is>
          <t>CC-1100</t>
        </is>
      </c>
      <c r="E60" s="4" t="n">
        <v>132470.73</v>
      </c>
      <c r="F60" s="8" t="n">
        <v>46203</v>
      </c>
      <c r="G60" t="inlineStr">
        <is>
          <t>POSTED</t>
        </is>
      </c>
    </row>
    <row r="61">
      <c r="A61" t="inlineStr">
        <is>
          <t>ACC-00043</t>
        </is>
      </c>
      <c r="B61" t="inlineStr">
        <is>
          <t>E-09</t>
        </is>
      </c>
      <c r="C61" t="inlineStr">
        <is>
          <t>O'Brien &amp; Partners</t>
        </is>
      </c>
      <c r="D61" t="inlineStr">
        <is>
          <t>CC-2400</t>
        </is>
      </c>
      <c r="E61" s="4" t="n">
        <v>456693.51</v>
      </c>
      <c r="F61" s="8" t="n">
        <v>46203</v>
      </c>
      <c r="G61" t="inlineStr">
        <is>
          <t>POSTED</t>
        </is>
      </c>
    </row>
    <row r="62">
      <c r="A62" t="inlineStr">
        <is>
          <t>ACC-00044</t>
        </is>
      </c>
      <c r="B62" t="inlineStr">
        <is>
          <t>E-09</t>
        </is>
      </c>
      <c r="C62" t="inlineStr">
        <is>
          <t>O'Brien &amp; Partners</t>
        </is>
      </c>
      <c r="D62" t="inlineStr">
        <is>
          <t>CC-1200</t>
        </is>
      </c>
      <c r="E62" s="4" t="n">
        <v>381788.47</v>
      </c>
      <c r="F62" s="8" t="n">
        <v>46203</v>
      </c>
      <c r="G62" t="inlineStr">
        <is>
          <t>CANCELLED</t>
        </is>
      </c>
    </row>
    <row r="63">
      <c r="A63" t="inlineStr">
        <is>
          <t>ACC-00045</t>
        </is>
      </c>
      <c r="B63" t="inlineStr">
        <is>
          <t>E-09</t>
        </is>
      </c>
      <c r="C63" t="inlineStr">
        <is>
          <t>O'Brien &amp; Partners</t>
        </is>
      </c>
      <c r="D63" t="inlineStr">
        <is>
          <t>CC-2400</t>
        </is>
      </c>
      <c r="E63" s="4" t="n">
        <v>280245.15</v>
      </c>
      <c r="F63" s="8" t="n">
        <v>46203</v>
      </c>
      <c r="G63" t="inlineStr">
        <is>
          <t>POSTED</t>
        </is>
      </c>
    </row>
    <row r="64">
      <c r="A64" t="inlineStr">
        <is>
          <t>ACC-00046</t>
        </is>
      </c>
      <c r="B64" t="inlineStr">
        <is>
          <t>E-09</t>
        </is>
      </c>
      <c r="C64" t="inlineStr">
        <is>
          <t>O'Brien &amp; Partners</t>
        </is>
      </c>
      <c r="D64" t="inlineStr">
        <is>
          <t>CC-3050</t>
        </is>
      </c>
      <c r="E64" s="4" t="n">
        <v>189984.66</v>
      </c>
      <c r="F64" s="8" t="n">
        <v>46203</v>
      </c>
      <c r="G64" t="inlineStr">
        <is>
          <t>POSTED</t>
        </is>
      </c>
    </row>
    <row r="65">
      <c r="A65" t="inlineStr">
        <is>
          <t>ACC-00047</t>
        </is>
      </c>
      <c r="B65" t="inlineStr">
        <is>
          <t>E-09</t>
        </is>
      </c>
      <c r="C65" t="inlineStr">
        <is>
          <t>O'Brien &amp; Partners</t>
        </is>
      </c>
      <c r="D65" t="inlineStr">
        <is>
          <t>CC-1100</t>
        </is>
      </c>
      <c r="E65" s="4" t="n">
        <v>249179.12</v>
      </c>
      <c r="F65" s="8" t="n">
        <v>46203</v>
      </c>
      <c r="G65" t="inlineStr">
        <is>
          <t>POSTED</t>
        </is>
      </c>
    </row>
    <row r="66">
      <c r="A66" t="inlineStr">
        <is>
          <t>ACC-00048</t>
        </is>
      </c>
      <c r="B66" t="inlineStr">
        <is>
          <t>E-09</t>
        </is>
      </c>
      <c r="C66" t="inlineStr">
        <is>
          <t>O'Brien &amp; Partners</t>
        </is>
      </c>
      <c r="D66" t="inlineStr">
        <is>
          <t>CC-3900</t>
        </is>
      </c>
      <c r="E66" s="4" t="n">
        <v>64261.78</v>
      </c>
      <c r="F66" s="8" t="n">
        <v>46203</v>
      </c>
      <c r="G66" t="inlineStr">
        <is>
          <t>POSTED</t>
        </is>
      </c>
    </row>
    <row r="67">
      <c r="A67" t="inlineStr">
        <is>
          <t>ACC-00049</t>
        </is>
      </c>
      <c r="B67" t="inlineStr">
        <is>
          <t>E-09</t>
        </is>
      </c>
      <c r="C67" t="inlineStr">
        <is>
          <t>O'Brien &amp; Partners</t>
        </is>
      </c>
      <c r="D67" t="inlineStr">
        <is>
          <t>CC-2400</t>
        </is>
      </c>
      <c r="E67" s="4" t="n">
        <v>245017.85</v>
      </c>
      <c r="F67" s="8" t="n">
        <v>46203</v>
      </c>
      <c r="G67" t="inlineStr">
        <is>
          <t>POSTED</t>
        </is>
      </c>
    </row>
    <row r="68">
      <c r="A68" t="inlineStr">
        <is>
          <t>ACC-00050</t>
        </is>
      </c>
      <c r="B68" t="inlineStr">
        <is>
          <t>E-09</t>
        </is>
      </c>
      <c r="C68" t="inlineStr">
        <is>
          <t>O'Brien &amp; Partners</t>
        </is>
      </c>
      <c r="D68" t="inlineStr">
        <is>
          <t>CC-3050</t>
        </is>
      </c>
      <c r="E68" s="4" t="n">
        <v>406598.27</v>
      </c>
      <c r="F68" s="8" t="n">
        <v>46203</v>
      </c>
      <c r="G68" t="inlineStr">
        <is>
          <t>POSTED</t>
        </is>
      </c>
    </row>
    <row r="69">
      <c r="A69" t="inlineStr">
        <is>
          <t>ACC-00051</t>
        </is>
      </c>
      <c r="B69" t="inlineStr">
        <is>
          <t>E-09</t>
        </is>
      </c>
      <c r="C69" t="inlineStr">
        <is>
          <t>O'Brien &amp; Partners</t>
        </is>
      </c>
      <c r="D69" t="inlineStr">
        <is>
          <t>CC-1100</t>
        </is>
      </c>
      <c r="E69" s="4" t="n">
        <v>440440.03</v>
      </c>
      <c r="F69" s="8" t="n">
        <v>46203</v>
      </c>
      <c r="G69" t="inlineStr">
        <is>
          <t>POSTED</t>
        </is>
      </c>
    </row>
    <row r="70">
      <c r="A70" t="inlineStr">
        <is>
          <t>ACC-00052</t>
        </is>
      </c>
      <c r="B70" t="inlineStr">
        <is>
          <t>E-09</t>
        </is>
      </c>
      <c r="C70" t="inlineStr">
        <is>
          <t>O'Brien &amp; Partners</t>
        </is>
      </c>
      <c r="D70" t="inlineStr">
        <is>
          <t>CC-1100</t>
        </is>
      </c>
      <c r="E70" s="4" t="n">
        <v>316600.95</v>
      </c>
      <c r="F70" s="8" t="n">
        <v>46203</v>
      </c>
      <c r="G70" t="inlineStr">
        <is>
          <t>POSTED</t>
        </is>
      </c>
    </row>
    <row r="71">
      <c r="A71" t="inlineStr">
        <is>
          <t>ACC-00053</t>
        </is>
      </c>
      <c r="B71" t="inlineStr">
        <is>
          <t>E-09</t>
        </is>
      </c>
      <c r="C71" t="inlineStr">
        <is>
          <t>O'Brien &amp; Partners</t>
        </is>
      </c>
      <c r="D71" t="inlineStr">
        <is>
          <t>CC-3050</t>
        </is>
      </c>
      <c r="E71" s="4" t="n">
        <v>11291.85</v>
      </c>
      <c r="F71" s="8" t="n">
        <v>46203</v>
      </c>
      <c r="G71" t="inlineStr">
        <is>
          <t>POSTED</t>
        </is>
      </c>
    </row>
    <row r="72">
      <c r="A72" t="inlineStr">
        <is>
          <t>ACC-00054</t>
        </is>
      </c>
      <c r="B72" t="inlineStr">
        <is>
          <t>E-09</t>
        </is>
      </c>
      <c r="C72" t="inlineStr">
        <is>
          <t>O'Brien &amp; Partners</t>
        </is>
      </c>
      <c r="D72" t="inlineStr">
        <is>
          <t>CC-1200</t>
        </is>
      </c>
      <c r="E72" s="4" t="n">
        <v>440373.92</v>
      </c>
      <c r="F72" s="8" t="n">
        <v>46203</v>
      </c>
      <c r="G72" t="inlineStr">
        <is>
          <t>POSTED</t>
        </is>
      </c>
    </row>
    <row r="73">
      <c r="A73" t="inlineStr">
        <is>
          <t>ACC-00055</t>
        </is>
      </c>
      <c r="B73" t="inlineStr">
        <is>
          <t>E-09</t>
        </is>
      </c>
      <c r="C73" t="inlineStr">
        <is>
          <t>O'Brien &amp; Partners</t>
        </is>
      </c>
      <c r="D73" t="inlineStr">
        <is>
          <t>CC-1100</t>
        </is>
      </c>
      <c r="E73" s="4" t="n">
        <v>236384.29</v>
      </c>
      <c r="F73" s="8" t="n">
        <v>46203</v>
      </c>
      <c r="G73" t="inlineStr">
        <is>
          <t>POSTED</t>
        </is>
      </c>
    </row>
    <row r="74">
      <c r="A74" t="inlineStr">
        <is>
          <t>ACC-00056</t>
        </is>
      </c>
      <c r="B74" t="inlineStr">
        <is>
          <t>E-09</t>
        </is>
      </c>
      <c r="C74" t="inlineStr">
        <is>
          <t>O'Brien &amp; Partners</t>
        </is>
      </c>
      <c r="D74" t="inlineStr">
        <is>
          <t>CC-3900</t>
        </is>
      </c>
      <c r="E74" s="4" t="n">
        <v>444628.11</v>
      </c>
      <c r="F74" s="8" t="n">
        <v>46203</v>
      </c>
      <c r="G74" t="inlineStr">
        <is>
          <t>POSTED</t>
        </is>
      </c>
    </row>
    <row r="75">
      <c r="A75" t="inlineStr">
        <is>
          <t>ACC-00057</t>
        </is>
      </c>
      <c r="B75" t="inlineStr">
        <is>
          <t>E-09</t>
        </is>
      </c>
      <c r="C75" t="inlineStr">
        <is>
          <t>O'Brien &amp; Partners</t>
        </is>
      </c>
      <c r="D75" t="inlineStr">
        <is>
          <t>CC-1100</t>
        </is>
      </c>
      <c r="E75" s="4" t="n">
        <v>254244.15</v>
      </c>
      <c r="F75" s="8" t="n">
        <v>46203</v>
      </c>
      <c r="G75" t="inlineStr">
        <is>
          <t>POSTED</t>
        </is>
      </c>
    </row>
    <row r="76">
      <c r="A76" t="inlineStr">
        <is>
          <t>ACC-00058</t>
        </is>
      </c>
      <c r="B76" t="inlineStr">
        <is>
          <t>E-09</t>
        </is>
      </c>
      <c r="C76" t="inlineStr">
        <is>
          <t>O'Brien &amp; Partners</t>
        </is>
      </c>
      <c r="D76" t="inlineStr">
        <is>
          <t>CC-1200</t>
        </is>
      </c>
      <c r="E76" s="4" t="n">
        <v>213187.06</v>
      </c>
      <c r="F76" s="8" t="n">
        <v>46203</v>
      </c>
      <c r="G76" t="inlineStr">
        <is>
          <t>POSTED</t>
        </is>
      </c>
    </row>
    <row r="77">
      <c r="A77" t="inlineStr">
        <is>
          <t>ACC-00059</t>
        </is>
      </c>
      <c r="B77" t="inlineStr">
        <is>
          <t>E-09</t>
        </is>
      </c>
      <c r="C77" t="inlineStr">
        <is>
          <t>O'Brien &amp; Partners</t>
        </is>
      </c>
      <c r="D77" t="inlineStr">
        <is>
          <t>CC-2400</t>
        </is>
      </c>
      <c r="E77" s="4" t="n">
        <v>110928.35</v>
      </c>
      <c r="F77" s="8" t="n">
        <v>46203</v>
      </c>
      <c r="G77" t="inlineStr">
        <is>
          <t>POSTED</t>
        </is>
      </c>
    </row>
    <row r="78">
      <c r="A78" t="inlineStr">
        <is>
          <t>ACC-00060</t>
        </is>
      </c>
      <c r="B78" t="inlineStr">
        <is>
          <t>E-09</t>
        </is>
      </c>
      <c r="C78" t="inlineStr">
        <is>
          <t>O'Brien &amp; Partners</t>
        </is>
      </c>
      <c r="D78" t="inlineStr">
        <is>
          <t>CC-2400</t>
        </is>
      </c>
      <c r="E78" s="4" t="n">
        <v>435060.69</v>
      </c>
      <c r="F78" s="8" t="n">
        <v>46203</v>
      </c>
      <c r="G78" t="inlineStr">
        <is>
          <t>POSTED</t>
        </is>
      </c>
    </row>
    <row r="79">
      <c r="A79" t="inlineStr">
        <is>
          <t>ACC-00061</t>
        </is>
      </c>
      <c r="B79" t="inlineStr">
        <is>
          <t>E-12</t>
        </is>
      </c>
      <c r="C79" t="inlineStr">
        <is>
          <t>Calderstone Assurance</t>
        </is>
      </c>
      <c r="D79" t="inlineStr">
        <is>
          <t>CC-1100</t>
        </is>
      </c>
      <c r="E79" s="4" t="n">
        <v>179699.46</v>
      </c>
      <c r="F79" s="8" t="n">
        <v>46203</v>
      </c>
      <c r="G79" t="inlineStr">
        <is>
          <t>POSTED</t>
        </is>
      </c>
    </row>
    <row r="80">
      <c r="A80" t="inlineStr">
        <is>
          <t>ACC-00062</t>
        </is>
      </c>
      <c r="B80" t="inlineStr">
        <is>
          <t>E-12</t>
        </is>
      </c>
      <c r="C80" t="inlineStr">
        <is>
          <t>Calderstone Assurance</t>
        </is>
      </c>
      <c r="D80" t="inlineStr">
        <is>
          <t>CC-3900</t>
        </is>
      </c>
      <c r="E80" s="4" t="n">
        <v>463011.19</v>
      </c>
      <c r="F80" s="8" t="n">
        <v>46203</v>
      </c>
      <c r="G80" t="inlineStr">
        <is>
          <t>POSTED</t>
        </is>
      </c>
    </row>
    <row r="81">
      <c r="A81" t="inlineStr">
        <is>
          <t>ACC-00063</t>
        </is>
      </c>
      <c r="B81" t="inlineStr">
        <is>
          <t>E-12</t>
        </is>
      </c>
      <c r="C81" t="inlineStr">
        <is>
          <t>Calderstone Assurance</t>
        </is>
      </c>
      <c r="D81" t="inlineStr">
        <is>
          <t>CC-2400</t>
        </is>
      </c>
      <c r="E81" s="4" t="n">
        <v>127337.18</v>
      </c>
      <c r="F81" s="8" t="n">
        <v>46203</v>
      </c>
      <c r="G81" t="inlineStr">
        <is>
          <t>POSTED</t>
        </is>
      </c>
    </row>
    <row r="82">
      <c r="A82" t="inlineStr">
        <is>
          <t>ACC-00064</t>
        </is>
      </c>
      <c r="B82" t="inlineStr">
        <is>
          <t>E-12</t>
        </is>
      </c>
      <c r="C82" t="inlineStr">
        <is>
          <t>Calderstone Assurance</t>
        </is>
      </c>
      <c r="D82" t="inlineStr">
        <is>
          <t>CC-1200</t>
        </is>
      </c>
      <c r="E82" s="4" t="n">
        <v>213591.57</v>
      </c>
      <c r="F82" s="8" t="n">
        <v>46203</v>
      </c>
      <c r="G82" t="inlineStr">
        <is>
          <t>CANCELLED</t>
        </is>
      </c>
    </row>
    <row r="83">
      <c r="A83" t="inlineStr">
        <is>
          <t>ACC-00065</t>
        </is>
      </c>
      <c r="B83" t="inlineStr">
        <is>
          <t>E-12</t>
        </is>
      </c>
      <c r="C83" t="inlineStr">
        <is>
          <t>Calderstone Assurance</t>
        </is>
      </c>
      <c r="D83" t="inlineStr">
        <is>
          <t>CC-1200</t>
        </is>
      </c>
      <c r="E83" s="4" t="n">
        <v>31227.46</v>
      </c>
      <c r="F83" s="8" t="n">
        <v>46203</v>
      </c>
      <c r="G83" t="inlineStr">
        <is>
          <t>POSTED</t>
        </is>
      </c>
    </row>
    <row r="84">
      <c r="A84" t="inlineStr">
        <is>
          <t>ACC-00066</t>
        </is>
      </c>
      <c r="B84" t="inlineStr">
        <is>
          <t>E-12</t>
        </is>
      </c>
      <c r="C84" t="inlineStr">
        <is>
          <t>Calderstone Assurance</t>
        </is>
      </c>
      <c r="D84" t="inlineStr">
        <is>
          <t>CC-3050</t>
        </is>
      </c>
      <c r="E84" s="4" t="n">
        <v>127159.57</v>
      </c>
      <c r="F84" s="8" t="n">
        <v>46203</v>
      </c>
      <c r="G84" t="inlineStr">
        <is>
          <t>POSTED</t>
        </is>
      </c>
    </row>
    <row r="85">
      <c r="A85" t="inlineStr">
        <is>
          <t>ACC-00067</t>
        </is>
      </c>
      <c r="B85" t="inlineStr">
        <is>
          <t>E-12</t>
        </is>
      </c>
      <c r="C85" t="inlineStr">
        <is>
          <t>Calderstone Assurance</t>
        </is>
      </c>
      <c r="D85" t="inlineStr">
        <is>
          <t>CC-1100</t>
        </is>
      </c>
      <c r="E85" s="4" t="n">
        <v>417772.6</v>
      </c>
      <c r="F85" s="8" t="n">
        <v>46203</v>
      </c>
      <c r="G85" t="inlineStr">
        <is>
          <t>POSTED</t>
        </is>
      </c>
    </row>
    <row r="86">
      <c r="A86" t="inlineStr">
        <is>
          <t>ACC-00068</t>
        </is>
      </c>
      <c r="B86" t="inlineStr">
        <is>
          <t>E-12</t>
        </is>
      </c>
      <c r="C86" t="inlineStr">
        <is>
          <t>Calderstone Assurance</t>
        </is>
      </c>
      <c r="D86" t="inlineStr">
        <is>
          <t>CC-3900</t>
        </is>
      </c>
      <c r="E86" s="4" t="n">
        <v>422714.17</v>
      </c>
      <c r="F86" s="8" t="n">
        <v>46203</v>
      </c>
      <c r="G86" t="inlineStr">
        <is>
          <t>POSTED</t>
        </is>
      </c>
    </row>
    <row r="87">
      <c r="A87" t="inlineStr">
        <is>
          <t>ACC-00069</t>
        </is>
      </c>
      <c r="B87" t="inlineStr">
        <is>
          <t>E-12</t>
        </is>
      </c>
      <c r="C87" t="inlineStr">
        <is>
          <t>Calderstone Assurance</t>
        </is>
      </c>
      <c r="D87" t="inlineStr">
        <is>
          <t>CC-3900</t>
        </is>
      </c>
      <c r="E87" s="4" t="n">
        <v>54221</v>
      </c>
      <c r="F87" s="8" t="n">
        <v>46203</v>
      </c>
      <c r="G87" t="inlineStr">
        <is>
          <t>POSTED</t>
        </is>
      </c>
    </row>
    <row r="88">
      <c r="A88" t="inlineStr">
        <is>
          <t>ACC-00070</t>
        </is>
      </c>
      <c r="B88" t="inlineStr">
        <is>
          <t>E-12</t>
        </is>
      </c>
      <c r="C88" t="inlineStr">
        <is>
          <t>Calderstone Assurance</t>
        </is>
      </c>
      <c r="D88" t="inlineStr">
        <is>
          <t>CC-1100</t>
        </is>
      </c>
      <c r="E88" s="4" t="n">
        <v>432273.87</v>
      </c>
      <c r="F88" s="8" t="n">
        <v>46203</v>
      </c>
      <c r="G88" t="inlineStr">
        <is>
          <t>POSTED</t>
        </is>
      </c>
    </row>
    <row r="89">
      <c r="A89" t="inlineStr">
        <is>
          <t>ACC-00071</t>
        </is>
      </c>
      <c r="B89" t="inlineStr">
        <is>
          <t>E-12</t>
        </is>
      </c>
      <c r="C89" t="inlineStr">
        <is>
          <t>Calderstone Assurance</t>
        </is>
      </c>
      <c r="D89" t="inlineStr">
        <is>
          <t>CC-2400</t>
        </is>
      </c>
      <c r="E89" s="4" t="n">
        <v>193595</v>
      </c>
      <c r="F89" s="8" t="n">
        <v>46203</v>
      </c>
      <c r="G89" t="inlineStr">
        <is>
          <t>POSTED</t>
        </is>
      </c>
    </row>
    <row r="90">
      <c r="A90" t="inlineStr">
        <is>
          <t>ACC-00072</t>
        </is>
      </c>
      <c r="B90" t="inlineStr">
        <is>
          <t>E-12</t>
        </is>
      </c>
      <c r="C90" t="inlineStr">
        <is>
          <t>Calderstone Assurance</t>
        </is>
      </c>
      <c r="D90" t="inlineStr">
        <is>
          <t>CC-1100</t>
        </is>
      </c>
      <c r="E90" s="4" t="n">
        <v>27341</v>
      </c>
      <c r="F90" s="8" t="n">
        <v>46203</v>
      </c>
      <c r="G90" t="inlineStr">
        <is>
          <t>POSTED</t>
        </is>
      </c>
    </row>
    <row r="91">
      <c r="A91" t="inlineStr">
        <is>
          <t>ACC-00073</t>
        </is>
      </c>
      <c r="B91" t="inlineStr">
        <is>
          <t>E-12</t>
        </is>
      </c>
      <c r="C91" t="inlineStr">
        <is>
          <t>Calderstone Assurance</t>
        </is>
      </c>
      <c r="D91" t="inlineStr">
        <is>
          <t>CC-1100</t>
        </is>
      </c>
      <c r="E91" s="4" t="n">
        <v>79962.71000000001</v>
      </c>
      <c r="F91" s="8" t="n">
        <v>46203</v>
      </c>
      <c r="G91" t="inlineStr">
        <is>
          <t>POSTED</t>
        </is>
      </c>
    </row>
    <row r="92">
      <c r="A92" t="inlineStr">
        <is>
          <t>ACC-00074</t>
        </is>
      </c>
      <c r="B92" t="inlineStr">
        <is>
          <t>E-12</t>
        </is>
      </c>
      <c r="C92" t="inlineStr">
        <is>
          <t>Calderstone Assurance</t>
        </is>
      </c>
      <c r="D92" t="inlineStr">
        <is>
          <t>CC-2400</t>
        </is>
      </c>
      <c r="E92" s="4" t="n">
        <v>339662.12</v>
      </c>
      <c r="F92" s="8" t="n">
        <v>46203</v>
      </c>
      <c r="G92" t="inlineStr">
        <is>
          <t>POSTED</t>
        </is>
      </c>
    </row>
    <row r="93">
      <c r="A93" t="inlineStr">
        <is>
          <t>ACC-00075</t>
        </is>
      </c>
      <c r="B93" t="inlineStr">
        <is>
          <t>E-12</t>
        </is>
      </c>
      <c r="C93" t="inlineStr">
        <is>
          <t>Calderstone Assurance</t>
        </is>
      </c>
      <c r="D93" t="inlineStr">
        <is>
          <t>CC-1100</t>
        </is>
      </c>
      <c r="E93" s="4" t="n">
        <v>430209.75</v>
      </c>
      <c r="F93" s="8" t="n">
        <v>46203</v>
      </c>
      <c r="G93" t="inlineStr">
        <is>
          <t>POSTED</t>
        </is>
      </c>
    </row>
    <row r="94">
      <c r="A94" t="inlineStr">
        <is>
          <t>ACC-00076</t>
        </is>
      </c>
      <c r="B94" t="inlineStr">
        <is>
          <t>E-12</t>
        </is>
      </c>
      <c r="C94" t="inlineStr">
        <is>
          <t>Calderstone Assurance</t>
        </is>
      </c>
      <c r="D94" t="inlineStr">
        <is>
          <t>CC-2400</t>
        </is>
      </c>
      <c r="E94" s="4" t="n">
        <v>101193.08</v>
      </c>
      <c r="F94" s="8" t="n">
        <v>46203</v>
      </c>
      <c r="G94" t="inlineStr">
        <is>
          <t>POSTED</t>
        </is>
      </c>
    </row>
    <row r="95">
      <c r="A95" t="inlineStr">
        <is>
          <t>ACC-00077</t>
        </is>
      </c>
      <c r="B95" t="inlineStr">
        <is>
          <t>E-12</t>
        </is>
      </c>
      <c r="C95" t="inlineStr">
        <is>
          <t>Calderstone Assurance</t>
        </is>
      </c>
      <c r="D95" t="inlineStr">
        <is>
          <t>CC-1200</t>
        </is>
      </c>
      <c r="E95" s="4" t="n">
        <v>10155</v>
      </c>
      <c r="F95" s="8" t="n">
        <v>46203</v>
      </c>
      <c r="G95" t="inlineStr">
        <is>
          <t>POSTED</t>
        </is>
      </c>
    </row>
    <row r="96">
      <c r="A96" t="inlineStr">
        <is>
          <t>ACC-00078</t>
        </is>
      </c>
      <c r="B96" t="inlineStr">
        <is>
          <t>E-12</t>
        </is>
      </c>
      <c r="C96" t="inlineStr">
        <is>
          <t>Calderstone Assurance</t>
        </is>
      </c>
      <c r="D96" t="inlineStr">
        <is>
          <t>CC-1200</t>
        </is>
      </c>
      <c r="E96" s="4" t="n">
        <v>386979.2</v>
      </c>
      <c r="F96" s="8" t="n">
        <v>46203</v>
      </c>
      <c r="G96" t="inlineStr">
        <is>
          <t>POSTED</t>
        </is>
      </c>
    </row>
    <row r="97">
      <c r="A97" t="inlineStr">
        <is>
          <t>ACC-00079</t>
        </is>
      </c>
      <c r="B97" t="inlineStr">
        <is>
          <t>E-12</t>
        </is>
      </c>
      <c r="C97" t="inlineStr">
        <is>
          <t>Calderstone Assurance</t>
        </is>
      </c>
      <c r="D97" t="inlineStr">
        <is>
          <t>CC-1200</t>
        </is>
      </c>
      <c r="E97" s="4" t="n">
        <v>219549.6</v>
      </c>
      <c r="F97" s="8" t="n">
        <v>46203</v>
      </c>
      <c r="G97" t="inlineStr">
        <is>
          <t>POSTED</t>
        </is>
      </c>
    </row>
    <row r="98">
      <c r="A98" t="inlineStr">
        <is>
          <t>ACC-00080</t>
        </is>
      </c>
      <c r="B98" t="inlineStr">
        <is>
          <t>E-12</t>
        </is>
      </c>
      <c r="C98" t="inlineStr">
        <is>
          <t>Calderstone Assurance</t>
        </is>
      </c>
      <c r="D98" t="inlineStr">
        <is>
          <t>CC-1200</t>
        </is>
      </c>
      <c r="E98" s="4" t="n">
        <v>21288.23</v>
      </c>
      <c r="F98" s="8" t="n">
        <v>46203</v>
      </c>
      <c r="G98" t="inlineStr">
        <is>
          <t>POSTED</t>
        </is>
      </c>
    </row>
    <row r="99">
      <c r="A99" t="inlineStr">
        <is>
          <t>ACC-00081</t>
        </is>
      </c>
      <c r="B99" t="inlineStr">
        <is>
          <t>E-15</t>
        </is>
      </c>
      <c r="C99" t="inlineStr">
        <is>
          <t>Pennine Logistics</t>
        </is>
      </c>
      <c r="D99" t="inlineStr">
        <is>
          <t>CC-2400</t>
        </is>
      </c>
      <c r="E99" s="4" t="n">
        <v>237972.71</v>
      </c>
      <c r="F99" s="8" t="n">
        <v>46203</v>
      </c>
      <c r="G99" t="inlineStr">
        <is>
          <t>POSTED</t>
        </is>
      </c>
    </row>
    <row r="100">
      <c r="A100" t="inlineStr">
        <is>
          <t>ACC-00082</t>
        </is>
      </c>
      <c r="B100" t="inlineStr">
        <is>
          <t>E-15</t>
        </is>
      </c>
      <c r="C100" t="inlineStr">
        <is>
          <t>Pennine Logistics</t>
        </is>
      </c>
      <c r="D100" t="inlineStr">
        <is>
          <t>CC-2400</t>
        </is>
      </c>
      <c r="E100" s="4" t="n">
        <v>48765.46</v>
      </c>
      <c r="F100" s="8" t="n">
        <v>46203</v>
      </c>
      <c r="G100" t="inlineStr">
        <is>
          <t>POSTED</t>
        </is>
      </c>
    </row>
    <row r="101">
      <c r="A101" t="inlineStr">
        <is>
          <t>ACC-00083</t>
        </is>
      </c>
      <c r="B101" t="inlineStr">
        <is>
          <t>E-15</t>
        </is>
      </c>
      <c r="C101" t="inlineStr">
        <is>
          <t>Pennine Logistics</t>
        </is>
      </c>
      <c r="D101" t="inlineStr">
        <is>
          <t>CC-1200</t>
        </is>
      </c>
      <c r="E101" s="4" t="n">
        <v>267584.71</v>
      </c>
      <c r="F101" s="8" t="n">
        <v>46203</v>
      </c>
      <c r="G101" t="inlineStr">
        <is>
          <t>POSTED</t>
        </is>
      </c>
    </row>
    <row r="102">
      <c r="A102" t="inlineStr">
        <is>
          <t>ACC-00084</t>
        </is>
      </c>
      <c r="B102" t="inlineStr">
        <is>
          <t>E-15</t>
        </is>
      </c>
      <c r="C102" t="inlineStr">
        <is>
          <t>Pennine Logistics</t>
        </is>
      </c>
      <c r="D102" t="inlineStr">
        <is>
          <t>CC-3050</t>
        </is>
      </c>
      <c r="E102" s="4" t="n">
        <v>373276.04</v>
      </c>
      <c r="F102" s="8" t="n">
        <v>46203</v>
      </c>
      <c r="G102" t="inlineStr">
        <is>
          <t>POSTED</t>
        </is>
      </c>
    </row>
    <row r="103">
      <c r="A103" t="inlineStr">
        <is>
          <t>ACC-00085</t>
        </is>
      </c>
      <c r="B103" t="inlineStr">
        <is>
          <t>E-15</t>
        </is>
      </c>
      <c r="C103" t="inlineStr">
        <is>
          <t>Pennine Logistics</t>
        </is>
      </c>
      <c r="D103" t="inlineStr">
        <is>
          <t>CC-3050</t>
        </is>
      </c>
      <c r="E103" s="4" t="n">
        <v>342579.62</v>
      </c>
      <c r="F103" s="8" t="n">
        <v>46203</v>
      </c>
      <c r="G103" t="inlineStr">
        <is>
          <t>POSTED</t>
        </is>
      </c>
    </row>
    <row r="104">
      <c r="A104" t="inlineStr">
        <is>
          <t>ACC-00086</t>
        </is>
      </c>
      <c r="B104" t="inlineStr">
        <is>
          <t>E-15</t>
        </is>
      </c>
      <c r="C104" t="inlineStr">
        <is>
          <t>Pennine Logistics</t>
        </is>
      </c>
      <c r="D104" t="inlineStr">
        <is>
          <t>CC-3050</t>
        </is>
      </c>
      <c r="E104" s="4" t="n">
        <v>241757.52</v>
      </c>
      <c r="F104" s="8" t="n">
        <v>46203</v>
      </c>
      <c r="G104" t="inlineStr">
        <is>
          <t>POSTED</t>
        </is>
      </c>
    </row>
    <row r="105">
      <c r="A105" t="inlineStr">
        <is>
          <t>ACC-00087</t>
        </is>
      </c>
      <c r="B105" t="inlineStr">
        <is>
          <t>E-15</t>
        </is>
      </c>
      <c r="C105" t="inlineStr">
        <is>
          <t>Pennine Logistics</t>
        </is>
      </c>
      <c r="D105" t="inlineStr">
        <is>
          <t>CC-3050</t>
        </is>
      </c>
      <c r="E105" s="4" t="n">
        <v>454219.86</v>
      </c>
      <c r="F105" s="8" t="n">
        <v>46203</v>
      </c>
      <c r="G105" t="inlineStr">
        <is>
          <t>POSTED</t>
        </is>
      </c>
    </row>
    <row r="106">
      <c r="A106" t="inlineStr">
        <is>
          <t>ACC-00088</t>
        </is>
      </c>
      <c r="B106" t="inlineStr">
        <is>
          <t>E-15</t>
        </is>
      </c>
      <c r="C106" t="inlineStr">
        <is>
          <t>Pennine Logistics</t>
        </is>
      </c>
      <c r="D106" t="inlineStr">
        <is>
          <t>CC-3050</t>
        </is>
      </c>
      <c r="E106" s="4" t="n">
        <v>340218.89</v>
      </c>
      <c r="F106" s="8" t="n">
        <v>46203</v>
      </c>
      <c r="G106" t="inlineStr">
        <is>
          <t>POSTED</t>
        </is>
      </c>
    </row>
    <row r="107">
      <c r="A107" t="inlineStr">
        <is>
          <t>ACC-00089</t>
        </is>
      </c>
      <c r="B107" t="inlineStr">
        <is>
          <t>E-15</t>
        </is>
      </c>
      <c r="C107" t="inlineStr">
        <is>
          <t>Pennine Logistics</t>
        </is>
      </c>
      <c r="D107" t="inlineStr">
        <is>
          <t>CC-1200</t>
        </is>
      </c>
      <c r="E107" s="4" t="n">
        <v>104112.9</v>
      </c>
      <c r="F107" s="8" t="n">
        <v>46203</v>
      </c>
      <c r="G107" t="inlineStr">
        <is>
          <t>POSTED</t>
        </is>
      </c>
    </row>
    <row r="108">
      <c r="A108" t="inlineStr">
        <is>
          <t>ACC-00090</t>
        </is>
      </c>
      <c r="B108" t="inlineStr">
        <is>
          <t>E-15</t>
        </is>
      </c>
      <c r="C108" t="inlineStr">
        <is>
          <t>Pennine Logistics</t>
        </is>
      </c>
      <c r="D108" t="inlineStr">
        <is>
          <t>CC-3050</t>
        </is>
      </c>
      <c r="E108" s="4" t="n">
        <v>128323.29</v>
      </c>
      <c r="F108" s="8" t="n">
        <v>46203</v>
      </c>
      <c r="G108" t="inlineStr">
        <is>
          <t>POSTED</t>
        </is>
      </c>
    </row>
    <row r="109">
      <c r="A109" t="inlineStr">
        <is>
          <t>ACC-00091</t>
        </is>
      </c>
      <c r="B109" t="inlineStr">
        <is>
          <t>E-15</t>
        </is>
      </c>
      <c r="C109" t="inlineStr">
        <is>
          <t>Pennine Logistics</t>
        </is>
      </c>
      <c r="D109" t="inlineStr">
        <is>
          <t>CC-2400</t>
        </is>
      </c>
      <c r="E109" s="4" t="n">
        <v>15155.61</v>
      </c>
      <c r="F109" s="8" t="n">
        <v>46203</v>
      </c>
      <c r="G109" t="inlineStr">
        <is>
          <t>POSTED</t>
        </is>
      </c>
    </row>
    <row r="110">
      <c r="A110" t="inlineStr">
        <is>
          <t>ACC-00092</t>
        </is>
      </c>
      <c r="B110" t="inlineStr">
        <is>
          <t>E-15</t>
        </is>
      </c>
      <c r="C110" t="inlineStr">
        <is>
          <t>Pennine Logistics</t>
        </is>
      </c>
      <c r="D110" t="inlineStr">
        <is>
          <t>CC-3050</t>
        </is>
      </c>
      <c r="E110" s="4" t="n">
        <v>58226.66</v>
      </c>
      <c r="F110" s="8" t="n">
        <v>46203</v>
      </c>
      <c r="G110" t="inlineStr">
        <is>
          <t>POSTED</t>
        </is>
      </c>
    </row>
    <row r="111">
      <c r="A111" t="inlineStr">
        <is>
          <t>ACC-00093</t>
        </is>
      </c>
      <c r="B111" t="inlineStr">
        <is>
          <t>E-15</t>
        </is>
      </c>
      <c r="C111" t="inlineStr">
        <is>
          <t>Pennine Logistics</t>
        </is>
      </c>
      <c r="D111" t="inlineStr">
        <is>
          <t>CC-3900</t>
        </is>
      </c>
      <c r="E111" s="4" t="n">
        <v>274461.67</v>
      </c>
      <c r="F111" s="8" t="n">
        <v>46203</v>
      </c>
      <c r="G111" t="inlineStr">
        <is>
          <t>POSTED</t>
        </is>
      </c>
    </row>
    <row r="112">
      <c r="A112" t="inlineStr">
        <is>
          <t>ACC-00094</t>
        </is>
      </c>
      <c r="B112" t="inlineStr">
        <is>
          <t>E-15</t>
        </is>
      </c>
      <c r="C112" t="inlineStr">
        <is>
          <t>Pennine Logistics</t>
        </is>
      </c>
      <c r="D112" t="inlineStr">
        <is>
          <t>CC-1100</t>
        </is>
      </c>
      <c r="E112" s="4" t="n">
        <v>468136.73</v>
      </c>
      <c r="F112" s="8" t="n">
        <v>46203</v>
      </c>
      <c r="G112" t="inlineStr">
        <is>
          <t>POSTED</t>
        </is>
      </c>
    </row>
    <row r="113">
      <c r="A113" t="inlineStr">
        <is>
          <t>ACC-00095</t>
        </is>
      </c>
      <c r="B113" t="inlineStr">
        <is>
          <t>E-15</t>
        </is>
      </c>
      <c r="C113" t="inlineStr">
        <is>
          <t>Pennine Logistics</t>
        </is>
      </c>
      <c r="D113" t="inlineStr">
        <is>
          <t>CC-3050</t>
        </is>
      </c>
      <c r="E113" s="4" t="n">
        <v>48957.19</v>
      </c>
      <c r="F113" s="8" t="n">
        <v>46203</v>
      </c>
      <c r="G113" t="inlineStr">
        <is>
          <t>POSTED</t>
        </is>
      </c>
    </row>
    <row r="114">
      <c r="A114" t="inlineStr">
        <is>
          <t>ACC-00096</t>
        </is>
      </c>
      <c r="B114" t="inlineStr">
        <is>
          <t>E-15</t>
        </is>
      </c>
      <c r="C114" t="inlineStr">
        <is>
          <t>Pennine Logistics</t>
        </is>
      </c>
      <c r="D114" t="inlineStr">
        <is>
          <t>CC-3900</t>
        </is>
      </c>
      <c r="E114" s="4" t="n">
        <v>184523.01</v>
      </c>
      <c r="F114" s="8" t="n">
        <v>46203</v>
      </c>
      <c r="G114" t="inlineStr">
        <is>
          <t>POSTED</t>
        </is>
      </c>
    </row>
    <row r="115">
      <c r="A115" t="inlineStr">
        <is>
          <t>ACC-00097</t>
        </is>
      </c>
      <c r="B115" t="inlineStr">
        <is>
          <t>E-15</t>
        </is>
      </c>
      <c r="C115" t="inlineStr">
        <is>
          <t>Pennine Logistics</t>
        </is>
      </c>
      <c r="D115" t="inlineStr">
        <is>
          <t>CC-1200</t>
        </is>
      </c>
      <c r="E115" s="4" t="n">
        <v>297027.86</v>
      </c>
      <c r="F115" s="8" t="n">
        <v>46203</v>
      </c>
      <c r="G115" t="inlineStr">
        <is>
          <t>POSTED</t>
        </is>
      </c>
    </row>
    <row r="116">
      <c r="A116" t="inlineStr">
        <is>
          <t>ACC-00098</t>
        </is>
      </c>
      <c r="B116" t="inlineStr">
        <is>
          <t>E-15</t>
        </is>
      </c>
      <c r="C116" t="inlineStr">
        <is>
          <t>Pennine Logistics</t>
        </is>
      </c>
      <c r="D116" t="inlineStr">
        <is>
          <t>CC-1200</t>
        </is>
      </c>
      <c r="E116" s="4" t="n">
        <v>3063.58</v>
      </c>
      <c r="F116" s="8" t="n">
        <v>46203</v>
      </c>
      <c r="G116" t="inlineStr">
        <is>
          <t>POSTED</t>
        </is>
      </c>
    </row>
    <row r="117">
      <c r="A117" t="inlineStr">
        <is>
          <t>ACC-00099</t>
        </is>
      </c>
      <c r="B117" t="inlineStr">
        <is>
          <t>E-15</t>
        </is>
      </c>
      <c r="C117" t="inlineStr">
        <is>
          <t>Pennine Logistics</t>
        </is>
      </c>
      <c r="D117" t="inlineStr">
        <is>
          <t>CC-2400</t>
        </is>
      </c>
      <c r="E117" s="4" t="n">
        <v>398945.63</v>
      </c>
      <c r="F117" s="8" t="n">
        <v>46203</v>
      </c>
      <c r="G117" t="inlineStr">
        <is>
          <t>POSTED</t>
        </is>
      </c>
    </row>
    <row r="118">
      <c r="A118" t="inlineStr">
        <is>
          <t>ACC-00100</t>
        </is>
      </c>
      <c r="B118" t="inlineStr">
        <is>
          <t>E-15</t>
        </is>
      </c>
      <c r="C118" t="inlineStr">
        <is>
          <t>Pennine Logistics</t>
        </is>
      </c>
      <c r="D118" t="inlineStr">
        <is>
          <t>CC-2400</t>
        </is>
      </c>
      <c r="E118" s="4" t="n">
        <v>114928.65</v>
      </c>
      <c r="F118" s="8" t="n">
        <v>46203</v>
      </c>
      <c r="G118" t="inlineStr">
        <is>
          <t>POSTED</t>
        </is>
      </c>
    </row>
    <row r="119">
      <c r="A119" t="inlineStr">
        <is>
          <t>ACC-00101</t>
        </is>
      </c>
      <c r="B119" t="inlineStr">
        <is>
          <t>E-21</t>
        </is>
      </c>
      <c r="C119" t="inlineStr">
        <is>
          <t>Harbourfield Retail</t>
        </is>
      </c>
      <c r="D119" t="inlineStr">
        <is>
          <t>CC-1200</t>
        </is>
      </c>
      <c r="E119" s="4" t="n">
        <v>17897.22</v>
      </c>
      <c r="F119" s="8" t="n">
        <v>46203</v>
      </c>
      <c r="G119" t="inlineStr">
        <is>
          <t>POSTED</t>
        </is>
      </c>
    </row>
    <row r="120">
      <c r="A120" t="inlineStr">
        <is>
          <t>ACC-00102</t>
        </is>
      </c>
      <c r="B120" t="inlineStr">
        <is>
          <t>E-21</t>
        </is>
      </c>
      <c r="C120" t="inlineStr">
        <is>
          <t>Harbourfield Retail</t>
        </is>
      </c>
      <c r="D120" t="inlineStr">
        <is>
          <t>CC-3900</t>
        </is>
      </c>
      <c r="E120" s="4" t="n">
        <v>104759.85</v>
      </c>
      <c r="F120" s="8" t="n">
        <v>46203</v>
      </c>
      <c r="G120" t="inlineStr">
        <is>
          <t>POSTED</t>
        </is>
      </c>
    </row>
    <row r="121">
      <c r="A121" t="inlineStr">
        <is>
          <t>ACC-00103</t>
        </is>
      </c>
      <c r="B121" t="inlineStr">
        <is>
          <t>E-21</t>
        </is>
      </c>
      <c r="C121" t="inlineStr">
        <is>
          <t>Harbourfield Retail</t>
        </is>
      </c>
      <c r="D121" t="inlineStr">
        <is>
          <t>CC-3050</t>
        </is>
      </c>
      <c r="E121" s="4" t="n">
        <v>474615.62</v>
      </c>
      <c r="F121" s="8" t="n">
        <v>46203</v>
      </c>
      <c r="G121" t="inlineStr">
        <is>
          <t>POSTED</t>
        </is>
      </c>
    </row>
    <row r="122">
      <c r="A122" t="inlineStr">
        <is>
          <t>ACC-00104</t>
        </is>
      </c>
      <c r="B122" t="inlineStr">
        <is>
          <t>E-21</t>
        </is>
      </c>
      <c r="C122" t="inlineStr">
        <is>
          <t>Harbourfield Retail</t>
        </is>
      </c>
      <c r="D122" t="inlineStr">
        <is>
          <t>CC-3050</t>
        </is>
      </c>
      <c r="E122" s="4" t="n">
        <v>436193.22</v>
      </c>
      <c r="F122" s="8" t="n">
        <v>46203</v>
      </c>
      <c r="G122" t="inlineStr">
        <is>
          <t>POSTED</t>
        </is>
      </c>
    </row>
    <row r="123">
      <c r="A123" t="inlineStr">
        <is>
          <t>ACC-00105</t>
        </is>
      </c>
      <c r="B123" t="inlineStr">
        <is>
          <t>E-21</t>
        </is>
      </c>
      <c r="C123" t="inlineStr">
        <is>
          <t>Harbourfield Retail</t>
        </is>
      </c>
      <c r="D123" t="inlineStr">
        <is>
          <t>CC-1200</t>
        </is>
      </c>
      <c r="E123" s="4" t="n">
        <v>449127.18</v>
      </c>
      <c r="F123" s="8" t="n">
        <v>46203</v>
      </c>
      <c r="G123" t="inlineStr">
        <is>
          <t>POSTED</t>
        </is>
      </c>
    </row>
    <row r="124">
      <c r="A124" t="inlineStr">
        <is>
          <t>ACC-00106</t>
        </is>
      </c>
      <c r="B124" t="inlineStr">
        <is>
          <t>E-21</t>
        </is>
      </c>
      <c r="C124" t="inlineStr">
        <is>
          <t>Harbourfield Retail</t>
        </is>
      </c>
      <c r="D124" t="inlineStr">
        <is>
          <t>CC-2400</t>
        </is>
      </c>
      <c r="E124" s="4" t="n">
        <v>183333.58</v>
      </c>
      <c r="F124" s="8" t="n">
        <v>46203</v>
      </c>
      <c r="G124" t="inlineStr">
        <is>
          <t>POSTED</t>
        </is>
      </c>
    </row>
    <row r="125">
      <c r="A125" t="inlineStr">
        <is>
          <t>ACC-00107</t>
        </is>
      </c>
      <c r="B125" t="inlineStr">
        <is>
          <t>E-21</t>
        </is>
      </c>
      <c r="C125" t="inlineStr">
        <is>
          <t>Harbourfield Retail</t>
        </is>
      </c>
      <c r="D125" t="inlineStr">
        <is>
          <t>CC-3050</t>
        </is>
      </c>
      <c r="E125" s="4" t="n">
        <v>21099.24</v>
      </c>
      <c r="F125" s="8" t="n">
        <v>46203</v>
      </c>
      <c r="G125" t="inlineStr">
        <is>
          <t>POSTED</t>
        </is>
      </c>
    </row>
    <row r="126">
      <c r="A126" t="inlineStr">
        <is>
          <t>ACC-00108</t>
        </is>
      </c>
      <c r="B126" t="inlineStr">
        <is>
          <t>E-21</t>
        </is>
      </c>
      <c r="C126" t="inlineStr">
        <is>
          <t>Harbourfield Retail</t>
        </is>
      </c>
      <c r="D126" t="inlineStr">
        <is>
          <t>CC-1100</t>
        </is>
      </c>
      <c r="E126" s="4" t="n">
        <v>366291.83</v>
      </c>
      <c r="F126" s="8" t="n">
        <v>46203</v>
      </c>
      <c r="G126" t="inlineStr">
        <is>
          <t>POSTED</t>
        </is>
      </c>
    </row>
    <row r="127">
      <c r="A127" t="inlineStr">
        <is>
          <t>ACC-00109</t>
        </is>
      </c>
      <c r="B127" t="inlineStr">
        <is>
          <t>E-21</t>
        </is>
      </c>
      <c r="C127" t="inlineStr">
        <is>
          <t>Harbourfield Retail</t>
        </is>
      </c>
      <c r="D127" t="inlineStr">
        <is>
          <t>CC-3900</t>
        </is>
      </c>
      <c r="E127" s="4" t="n">
        <v>385214.95</v>
      </c>
      <c r="F127" s="8" t="n">
        <v>46203</v>
      </c>
      <c r="G127" t="inlineStr">
        <is>
          <t>POSTED</t>
        </is>
      </c>
    </row>
    <row r="128">
      <c r="A128" t="inlineStr">
        <is>
          <t>ACC-00110</t>
        </is>
      </c>
      <c r="B128" t="inlineStr">
        <is>
          <t>E-21</t>
        </is>
      </c>
      <c r="C128" t="inlineStr">
        <is>
          <t>Harbourfield Retail</t>
        </is>
      </c>
      <c r="D128" t="inlineStr">
        <is>
          <t>CC-2400</t>
        </is>
      </c>
      <c r="E128" s="4" t="n">
        <v>291920.76</v>
      </c>
      <c r="F128" s="8" t="n">
        <v>46203</v>
      </c>
      <c r="G128" t="inlineStr">
        <is>
          <t>POSTED</t>
        </is>
      </c>
    </row>
    <row r="129">
      <c r="A129" t="inlineStr">
        <is>
          <t>ACC-00111</t>
        </is>
      </c>
      <c r="B129" t="inlineStr">
        <is>
          <t>E-21</t>
        </is>
      </c>
      <c r="C129" t="inlineStr">
        <is>
          <t>Harbourfield Retail</t>
        </is>
      </c>
      <c r="D129" t="inlineStr">
        <is>
          <t>CC-3900</t>
        </is>
      </c>
      <c r="E129" s="4" t="n">
        <v>45939.69</v>
      </c>
      <c r="F129" s="8" t="n">
        <v>46203</v>
      </c>
      <c r="G129" t="inlineStr">
        <is>
          <t>POSTED</t>
        </is>
      </c>
    </row>
    <row r="130">
      <c r="A130" t="inlineStr">
        <is>
          <t>ACC-00112</t>
        </is>
      </c>
      <c r="B130" t="inlineStr">
        <is>
          <t>E-21</t>
        </is>
      </c>
      <c r="C130" t="inlineStr">
        <is>
          <t>Harbourfield Retail</t>
        </is>
      </c>
      <c r="D130" t="inlineStr">
        <is>
          <t>CC-2400</t>
        </is>
      </c>
      <c r="E130" s="4" t="n">
        <v>165908.01</v>
      </c>
      <c r="F130" s="8" t="n">
        <v>46203</v>
      </c>
      <c r="G130" t="inlineStr">
        <is>
          <t>POSTED</t>
        </is>
      </c>
    </row>
    <row r="131">
      <c r="A131" t="inlineStr">
        <is>
          <t>ACC-00113</t>
        </is>
      </c>
      <c r="B131" t="inlineStr">
        <is>
          <t>E-21</t>
        </is>
      </c>
      <c r="C131" t="inlineStr">
        <is>
          <t>Harbourfield Retail</t>
        </is>
      </c>
      <c r="D131" t="inlineStr">
        <is>
          <t>CC-3050</t>
        </is>
      </c>
      <c r="E131" s="4" t="n">
        <v>231234.67</v>
      </c>
      <c r="F131" s="8" t="n">
        <v>46203</v>
      </c>
      <c r="G131" t="inlineStr">
        <is>
          <t>POSTED</t>
        </is>
      </c>
    </row>
    <row r="132">
      <c r="A132" t="inlineStr">
        <is>
          <t>ACC-00114</t>
        </is>
      </c>
      <c r="B132" t="inlineStr">
        <is>
          <t>E-21</t>
        </is>
      </c>
      <c r="C132" t="inlineStr">
        <is>
          <t>Harbourfield Retail</t>
        </is>
      </c>
      <c r="D132" t="inlineStr">
        <is>
          <t>CC-3900</t>
        </is>
      </c>
      <c r="E132" s="4" t="n">
        <v>54988.02</v>
      </c>
      <c r="F132" s="8" t="n">
        <v>46203</v>
      </c>
      <c r="G132" t="inlineStr">
        <is>
          <t>POSTED</t>
        </is>
      </c>
    </row>
    <row r="133">
      <c r="A133" t="inlineStr">
        <is>
          <t>ACC-00115</t>
        </is>
      </c>
      <c r="B133" t="inlineStr">
        <is>
          <t>E-21</t>
        </is>
      </c>
      <c r="C133" t="inlineStr">
        <is>
          <t>Harbourfield Retail</t>
        </is>
      </c>
      <c r="D133" t="inlineStr">
        <is>
          <t>CC-3900</t>
        </is>
      </c>
      <c r="E133" s="4" t="n">
        <v>340489.26</v>
      </c>
      <c r="F133" s="8" t="n">
        <v>46203</v>
      </c>
      <c r="G133" t="inlineStr">
        <is>
          <t>POSTED</t>
        </is>
      </c>
    </row>
    <row r="134">
      <c r="A134" t="inlineStr">
        <is>
          <t>ACC-00116</t>
        </is>
      </c>
      <c r="B134" t="inlineStr">
        <is>
          <t>E-21</t>
        </is>
      </c>
      <c r="C134" t="inlineStr">
        <is>
          <t>Harbourfield Retail</t>
        </is>
      </c>
      <c r="D134" t="inlineStr">
        <is>
          <t>CC-3900</t>
        </is>
      </c>
      <c r="E134" s="4" t="n">
        <v>116951.62</v>
      </c>
      <c r="F134" s="8" t="n">
        <v>46203</v>
      </c>
      <c r="G134" t="inlineStr">
        <is>
          <t>POSTED</t>
        </is>
      </c>
    </row>
    <row r="135">
      <c r="A135" t="inlineStr">
        <is>
          <t>ACC-00117</t>
        </is>
      </c>
      <c r="B135" t="inlineStr">
        <is>
          <t>E-21</t>
        </is>
      </c>
      <c r="C135" t="inlineStr">
        <is>
          <t>Harbourfield Retail</t>
        </is>
      </c>
      <c r="D135" t="inlineStr">
        <is>
          <t>CC-2400</t>
        </is>
      </c>
      <c r="E135" s="4" t="n">
        <v>291346.89</v>
      </c>
      <c r="F135" s="8" t="n">
        <v>46203</v>
      </c>
      <c r="G135" t="inlineStr">
        <is>
          <t>POSTED</t>
        </is>
      </c>
    </row>
    <row r="136">
      <c r="A136" t="inlineStr">
        <is>
          <t>ACC-00118</t>
        </is>
      </c>
      <c r="B136" t="inlineStr">
        <is>
          <t>E-21</t>
        </is>
      </c>
      <c r="C136" t="inlineStr">
        <is>
          <t>Harbourfield Retail</t>
        </is>
      </c>
      <c r="D136" t="inlineStr">
        <is>
          <t>CC-3900</t>
        </is>
      </c>
      <c r="E136" s="4" t="n">
        <v>386749.02</v>
      </c>
      <c r="F136" s="8" t="n">
        <v>46203</v>
      </c>
      <c r="G136" t="inlineStr">
        <is>
          <t>POSTED</t>
        </is>
      </c>
    </row>
    <row r="137">
      <c r="A137" t="inlineStr">
        <is>
          <t>ACC-00119</t>
        </is>
      </c>
      <c r="B137" t="inlineStr">
        <is>
          <t>E-21</t>
        </is>
      </c>
      <c r="C137" t="inlineStr">
        <is>
          <t>Harbourfield Retail</t>
        </is>
      </c>
      <c r="D137" t="inlineStr">
        <is>
          <t>CC-1100</t>
        </is>
      </c>
      <c r="E137" s="4" t="n">
        <v>87097.32000000001</v>
      </c>
      <c r="F137" s="8" t="n">
        <v>46203</v>
      </c>
      <c r="G137" t="inlineStr">
        <is>
          <t>POSTED</t>
        </is>
      </c>
    </row>
    <row r="138">
      <c r="A138" t="inlineStr">
        <is>
          <t>ACC-00120</t>
        </is>
      </c>
      <c r="B138" t="inlineStr">
        <is>
          <t>E-21</t>
        </is>
      </c>
      <c r="C138" t="inlineStr">
        <is>
          <t>Harbourfield Retail</t>
        </is>
      </c>
      <c r="D138" t="inlineStr">
        <is>
          <t>CC-2400</t>
        </is>
      </c>
      <c r="E138" s="4" t="n">
        <v>293796.6</v>
      </c>
      <c r="F138" s="8" t="n">
        <v>46203</v>
      </c>
      <c r="G138" t="inlineStr">
        <is>
          <t>POSTED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cols>
    <col width="14" customWidth="1" min="1" max="1"/>
    <col width="24" customWidth="1" min="3" max="3"/>
    <col width="96" customWidth="1" min="7" max="7"/>
  </cols>
  <sheetData>
    <row r="1">
      <c r="A1" s="1" t="inlineStr">
        <is>
          <t>Q2 2026 accrual uplift - working</t>
        </is>
      </c>
    </row>
    <row r="3">
      <c r="A3" s="2" t="inlineStr">
        <is>
          <t>Parameters</t>
        </is>
      </c>
    </row>
    <row r="4">
      <c r="A4" t="inlineStr">
        <is>
          <t>Uplift rate</t>
        </is>
      </c>
      <c r="B4" s="9" t="n">
        <v>0.045</v>
      </c>
    </row>
    <row r="5">
      <c r="A5" t="inlineStr">
        <is>
          <t>Period end</t>
        </is>
      </c>
      <c r="B5" s="8" t="n">
        <v>46203</v>
      </c>
    </row>
    <row r="6">
      <c r="A6" t="inlineStr">
        <is>
          <t>Entities in scope</t>
        </is>
      </c>
      <c r="B6" t="inlineStr">
        <is>
          <t>E-04, E-07, E-09, E-12</t>
        </is>
      </c>
    </row>
    <row r="7">
      <c r="A7" t="inlineStr">
        <is>
          <t>Ledger</t>
        </is>
      </c>
      <c r="B7" t="inlineStr">
        <is>
          <t>STATUTORY</t>
        </is>
      </c>
    </row>
    <row r="9">
      <c r="A9" s="2" t="inlineStr">
        <is>
          <t>Update statement (run against FinanceWarehouse):</t>
        </is>
      </c>
    </row>
    <row r="10">
      <c r="A10" s="6" t="inlineStr">
        <is>
          <t>UPDATE fin.accruals</t>
        </is>
      </c>
    </row>
    <row r="11">
      <c r="A11" s="6" t="inlineStr">
        <is>
          <t xml:space="preserve">   SET accrual_gbp = ROUND(accrual_gbp * 1.045, 2),</t>
        </is>
      </c>
    </row>
    <row r="12">
      <c r="A12" s="6" t="inlineStr">
        <is>
          <t xml:space="preserve">       adjusted_by  = SUSER_SNAME(),</t>
        </is>
      </c>
    </row>
    <row r="13">
      <c r="A13" s="6" t="inlineStr">
        <is>
          <t xml:space="preserve">       adjusted_at  = SYSUTCDATETIME()</t>
        </is>
      </c>
    </row>
    <row r="14">
      <c r="A14" s="6" t="inlineStr">
        <is>
          <t xml:space="preserve"> WHERE period_end = '2026-06-30'</t>
        </is>
      </c>
    </row>
    <row r="15">
      <c r="A15" s="6" t="inlineStr">
        <is>
          <t xml:space="preserve">   AND entity_id IN ('E-04', 'E-07', 'E-09', 'E-12')</t>
        </is>
      </c>
    </row>
    <row r="16">
      <c r="A16" s="7" t="inlineStr">
        <is>
          <t>trade_id</t>
        </is>
      </c>
      <c r="B16" s="7" t="inlineStr">
        <is>
          <t>entity_id</t>
        </is>
      </c>
      <c r="C16" s="7" t="inlineStr">
        <is>
          <t>entity_name</t>
        </is>
      </c>
      <c r="D16" s="7" t="inlineStr">
        <is>
          <t>accrual_gbp_before</t>
        </is>
      </c>
      <c r="E16" s="7" t="inlineStr">
        <is>
          <t>uplift_gbp</t>
        </is>
      </c>
      <c r="F16" s="7" t="inlineStr">
        <is>
          <t>accrual_gbp_after</t>
        </is>
      </c>
      <c r="G16" s="7" t="inlineStr">
        <is>
          <t>update_statement</t>
        </is>
      </c>
    </row>
    <row r="17">
      <c r="A17" t="inlineStr">
        <is>
          <t>ACC-00001</t>
        </is>
      </c>
      <c r="B17" t="inlineStr">
        <is>
          <t>E-04</t>
        </is>
      </c>
      <c r="C17" t="str">
        <f>VLOOKUP(A17,'Pre-Adjustment'!$A$19:$G$138,3,FALSE)</f>
        <v>Northgate Holdings</v>
      </c>
      <c r="D17" s="4">
        <f>VLOOKUP(A17,'Pre-Adjustment'!$A$19:$G$138,5,FALSE)</f>
        <v>0</v>
      </c>
      <c r="E17" s="4">
        <f>ROUND(D17*uplift_rate,2)</f>
        <v>0</v>
      </c>
      <c r="F17" s="4">
        <f>ROUND(D17*(1+uplift_rate),2)</f>
        <v>0</v>
      </c>
      <c r="G17" t="str">
        <f>"UPDATE fin.accruals SET accrual_gbp = "&amp;TEXT(F17,"0.00")&amp;", adjustment_note = 'Q2 uplift for "&amp;C17&amp;"'"&amp;" WHERE trade_id = '"&amp;A17&amp;"';"</f>
        <v>UPDATE fin.accruals SET accrual_gbp = 0.00, adjustment_note = 'Q2 uplift for Northgate Holdings' WHERE trade_id = 'ACC-00001';</v>
      </c>
    </row>
    <row r="18">
      <c r="A18" t="inlineStr">
        <is>
          <t>ACC-00002</t>
        </is>
      </c>
      <c r="B18" t="inlineStr">
        <is>
          <t>E-04</t>
        </is>
      </c>
      <c r="C18" t="str">
        <f>VLOOKUP(A18,'Pre-Adjustment'!$A$19:$G$138,3,FALSE)</f>
        <v>Northgate Holdings</v>
      </c>
      <c r="D18" s="4">
        <f>VLOOKUP(A18,'Pre-Adjustment'!$A$19:$G$138,5,FALSE)</f>
        <v>205878.9</v>
      </c>
      <c r="E18" s="4">
        <f>ROUND(D18*uplift_rate,2)</f>
        <v>9264.55</v>
      </c>
      <c r="F18" s="4">
        <f>ROUND(D18*(1+uplift_rate),2)</f>
        <v>215143.45</v>
      </c>
      <c r="G18" t="str">
        <f>"UPDATE fin.accruals SET accrual_gbp = "&amp;TEXT(F18,"0.00")&amp;", adjustment_note = 'Q2 uplift for "&amp;C18&amp;"'"&amp;" WHERE trade_id = '"&amp;A18&amp;"';"</f>
        <v>UPDATE fin.accruals SET accrual_gbp = 215143.45, adjustment_note = 'Q2 uplift for Northgate Holdings' WHERE trade_id = 'ACC-00002';</v>
      </c>
    </row>
    <row r="19">
      <c r="A19" t="inlineStr">
        <is>
          <t>ACC-00003</t>
        </is>
      </c>
      <c r="B19" t="inlineStr">
        <is>
          <t>E-04</t>
        </is>
      </c>
      <c r="C19" t="str">
        <f>VLOOKUP(A19,'Pre-Adjustment'!$A$19:$G$138,3,FALSE)</f>
        <v>Northgate Holdings</v>
      </c>
      <c r="D19" s="4">
        <f>VLOOKUP(A19,'Pre-Adjustment'!$A$19:$G$138,5,FALSE)</f>
        <v>277203.34</v>
      </c>
      <c r="E19" s="4">
        <f>ROUND(D19*uplift_rate,2)</f>
        <v>12474.15</v>
      </c>
      <c r="F19" s="4">
        <f>ROUND(D19*(1+uplift_rate),2)</f>
        <v>289677.49</v>
      </c>
      <c r="G19" t="str">
        <f>"UPDATE fin.accruals SET accrual_gbp = "&amp;TEXT(F19,"0.00")&amp;", adjustment_note = 'Q2 uplift for "&amp;C19&amp;"'"&amp;" WHERE trade_id = '"&amp;A19&amp;"';"</f>
        <v>UPDATE fin.accruals SET accrual_gbp = 289677.49, adjustment_note = 'Q2 uplift for Northgate Holdings' WHERE trade_id = 'ACC-00003';</v>
      </c>
    </row>
    <row r="20">
      <c r="A20" t="inlineStr">
        <is>
          <t>ACC-00005</t>
        </is>
      </c>
      <c r="B20" t="inlineStr">
        <is>
          <t>E-04</t>
        </is>
      </c>
      <c r="C20" t="str">
        <f>VLOOKUP(A20,'Pre-Adjustment'!$A$19:$G$138,3,FALSE)</f>
        <v>Northgate Holdings</v>
      </c>
      <c r="D20" s="4">
        <f>VLOOKUP(A20,'Pre-Adjustment'!$A$19:$G$138,5,FALSE)</f>
        <v>367696.32</v>
      </c>
      <c r="E20" s="4">
        <f>ROUND(D20*uplift_rate,2)</f>
        <v>16546.33</v>
      </c>
      <c r="F20" s="4">
        <f>ROUND(D20*(1+uplift_rate),2)</f>
        <v>384242.65</v>
      </c>
      <c r="G20" t="str">
        <f>"UPDATE fin.accruals SET accrual_gbp = "&amp;TEXT(F20,"0.00")&amp;", adjustment_note = 'Q2 uplift for "&amp;C20&amp;"'"&amp;" WHERE trade_id = '"&amp;A20&amp;"';"</f>
        <v>UPDATE fin.accruals SET accrual_gbp = 384242.65, adjustment_note = 'Q2 uplift for Northgate Holdings' WHERE trade_id = 'ACC-00005';</v>
      </c>
    </row>
    <row r="21">
      <c r="A21" t="inlineStr">
        <is>
          <t>ACC-00006</t>
        </is>
      </c>
      <c r="B21" t="inlineStr">
        <is>
          <t>E-04</t>
        </is>
      </c>
      <c r="C21" t="str">
        <f>VLOOKUP(A21,'Pre-Adjustment'!$A$19:$G$138,3,FALSE)</f>
        <v>Northgate Holdings</v>
      </c>
      <c r="D21" s="4">
        <f>VLOOKUP(A21,'Pre-Adjustment'!$A$19:$G$138,5,FALSE)</f>
        <v>40214.14</v>
      </c>
      <c r="E21" s="4">
        <f>ROUND(D21*uplift_rate,2)</f>
        <v>1809.64</v>
      </c>
      <c r="F21" s="4">
        <f>ROUND(D21*(1+uplift_rate),2)</f>
        <v>42023.78</v>
      </c>
      <c r="G21" t="str">
        <f>"UPDATE fin.accruals SET accrual_gbp = "&amp;TEXT(F21,"0.00")&amp;", adjustment_note = 'Q2 uplift for "&amp;C21&amp;"'"&amp;" WHERE trade_id = '"&amp;A21&amp;"';"</f>
        <v>UPDATE fin.accruals SET accrual_gbp = 42023.78, adjustment_note = 'Q2 uplift for Northgate Holdings' WHERE trade_id = 'ACC-00006';</v>
      </c>
    </row>
    <row r="22">
      <c r="A22" t="inlineStr">
        <is>
          <t>ACC-00007</t>
        </is>
      </c>
      <c r="B22" t="inlineStr">
        <is>
          <t>E-04</t>
        </is>
      </c>
      <c r="C22" t="str">
        <f>VLOOKUP(A22,'Pre-Adjustment'!$A$19:$G$138,3,FALSE)</f>
        <v>Northgate Holdings</v>
      </c>
      <c r="D22" s="4">
        <f>VLOOKUP(A22,'Pre-Adjustment'!$A$19:$G$138,5,FALSE)</f>
        <v>468934.53</v>
      </c>
      <c r="E22" s="4">
        <f>ROUND(D22*uplift_rate,2)</f>
        <v>21102.05</v>
      </c>
      <c r="F22" s="4">
        <f>ROUND(D22*(1+uplift_rate),2)</f>
        <v>490036.58</v>
      </c>
      <c r="G22" t="str">
        <f>"UPDATE fin.accruals SET accrual_gbp = "&amp;TEXT(F22,"0.00")&amp;", adjustment_note = 'Q2 uplift for "&amp;C22&amp;"'"&amp;" WHERE trade_id = '"&amp;A22&amp;"';"</f>
        <v>UPDATE fin.accruals SET accrual_gbp = 490036.58, adjustment_note = 'Q2 uplift for Northgate Holdings' WHERE trade_id = 'ACC-00007';</v>
      </c>
    </row>
    <row r="23">
      <c r="A23" t="inlineStr">
        <is>
          <t>ACC-00008</t>
        </is>
      </c>
      <c r="B23" t="inlineStr">
        <is>
          <t>E-04</t>
        </is>
      </c>
      <c r="C23" t="str">
        <f>VLOOKUP(A23,'Pre-Adjustment'!$A$19:$G$138,3,FALSE)</f>
        <v>Northgate Holdings</v>
      </c>
      <c r="D23" s="4">
        <f>VLOOKUP(A23,'Pre-Adjustment'!$A$19:$G$138,5,FALSE)</f>
        <v>354485.06</v>
      </c>
      <c r="E23" s="4">
        <f>ROUND(D23*uplift_rate,2)</f>
        <v>15951.83</v>
      </c>
      <c r="F23" s="4">
        <f>ROUND(D23*(1+uplift_rate),2)</f>
        <v>370436.89</v>
      </c>
      <c r="G23" t="str">
        <f>"UPDATE fin.accruals SET accrual_gbp = "&amp;TEXT(F23,"0.00")&amp;", adjustment_note = 'Q2 uplift for "&amp;C23&amp;"'"&amp;" WHERE trade_id = '"&amp;A23&amp;"';"</f>
        <v>UPDATE fin.accruals SET accrual_gbp = 370436.89, adjustment_note = 'Q2 uplift for Northgate Holdings' WHERE trade_id = 'ACC-00008';</v>
      </c>
    </row>
    <row r="24">
      <c r="A24" t="inlineStr">
        <is>
          <t>ACC-00009</t>
        </is>
      </c>
      <c r="B24" t="inlineStr">
        <is>
          <t>E-04</t>
        </is>
      </c>
      <c r="C24" t="str">
        <f>VLOOKUP(A24,'Pre-Adjustment'!$A$19:$G$138,3,FALSE)</f>
        <v>Northgate Holdings</v>
      </c>
      <c r="D24" s="4">
        <f>VLOOKUP(A24,'Pre-Adjustment'!$A$19:$G$138,5,FALSE)</f>
        <v>255329.73</v>
      </c>
      <c r="E24" s="4">
        <f>ROUND(D24*uplift_rate,2)</f>
        <v>11489.84</v>
      </c>
      <c r="F24" s="4">
        <f>ROUND(D24*(1+uplift_rate),2)</f>
        <v>266819.57</v>
      </c>
      <c r="G24" t="str">
        <f>"UPDATE fin.accruals SET accrual_gbp = "&amp;TEXT(F24,"0.00")&amp;", adjustment_note = 'Q2 uplift for "&amp;C24&amp;"'"&amp;" WHERE trade_id = '"&amp;A24&amp;"';"</f>
        <v>UPDATE fin.accruals SET accrual_gbp = 266819.57, adjustment_note = 'Q2 uplift for Northgate Holdings' WHERE trade_id = 'ACC-00009';</v>
      </c>
    </row>
    <row r="25">
      <c r="A25" t="inlineStr">
        <is>
          <t>ACC-00010</t>
        </is>
      </c>
      <c r="B25" t="inlineStr">
        <is>
          <t>E-04</t>
        </is>
      </c>
      <c r="C25" t="str">
        <f>VLOOKUP(A25,'Pre-Adjustment'!$A$19:$G$138,3,FALSE)</f>
        <v>Northgate Holdings</v>
      </c>
      <c r="D25" s="4">
        <f>VLOOKUP(A25,'Pre-Adjustment'!$A$19:$G$138,5,FALSE)</f>
        <v>101519.79</v>
      </c>
      <c r="E25" s="4">
        <f>ROUND(D25*uplift_rate,2)</f>
        <v>4568.39</v>
      </c>
      <c r="F25" s="4">
        <f>ROUND(D25*(1+uplift_rate),2)</f>
        <v>106088.18</v>
      </c>
      <c r="G25" t="str">
        <f>"UPDATE fin.accruals SET accrual_gbp = "&amp;TEXT(F25,"0.00")&amp;", adjustment_note = 'Q2 uplift for "&amp;C25&amp;"'"&amp;" WHERE trade_id = '"&amp;A25&amp;"';"</f>
        <v>UPDATE fin.accruals SET accrual_gbp = 106088.18, adjustment_note = 'Q2 uplift for Northgate Holdings' WHERE trade_id = 'ACC-00010';</v>
      </c>
    </row>
    <row r="26">
      <c r="A26" t="inlineStr">
        <is>
          <t>ACC-00011</t>
        </is>
      </c>
      <c r="B26" t="inlineStr">
        <is>
          <t>E-04</t>
        </is>
      </c>
      <c r="C26" t="str">
        <f>VLOOKUP(A26,'Pre-Adjustment'!$A$19:$G$138,3,FALSE)</f>
        <v>Northgate Holdings</v>
      </c>
      <c r="D26" s="4">
        <f>VLOOKUP(A26,'Pre-Adjustment'!$A$19:$G$138,5,FALSE)</f>
        <v>241113.07</v>
      </c>
      <c r="E26" s="4">
        <f>ROUND(D26*uplift_rate,2)</f>
        <v>10850.09</v>
      </c>
      <c r="F26" s="4">
        <f>ROUND(D26*(1+uplift_rate),2)</f>
        <v>251963.16</v>
      </c>
      <c r="G26" t="str">
        <f>"UPDATE fin.accruals SET accrual_gbp = "&amp;TEXT(F26,"0.00")&amp;", adjustment_note = 'Q2 uplift for "&amp;C26&amp;"'"&amp;" WHERE trade_id = '"&amp;A26&amp;"';"</f>
        <v>UPDATE fin.accruals SET accrual_gbp = 251963.16, adjustment_note = 'Q2 uplift for Northgate Holdings' WHERE trade_id = 'ACC-00011';</v>
      </c>
    </row>
    <row r="27">
      <c r="A27" t="inlineStr">
        <is>
          <t>ACC-00012</t>
        </is>
      </c>
      <c r="B27" t="inlineStr">
        <is>
          <t>E-04</t>
        </is>
      </c>
      <c r="C27" t="str">
        <f>VLOOKUP(A27,'Pre-Adjustment'!$A$19:$G$138,3,FALSE)</f>
        <v>Northgate Holdings</v>
      </c>
      <c r="D27" s="4">
        <f>VLOOKUP(A27,'Pre-Adjustment'!$A$19:$G$138,5,FALSE)</f>
        <v>391161.5</v>
      </c>
      <c r="E27" s="4">
        <f>ROUND(D27*uplift_rate,2)</f>
        <v>17602.27</v>
      </c>
      <c r="F27" s="4">
        <f>ROUND(D27*(1+uplift_rate),2)</f>
        <v>408763.77</v>
      </c>
      <c r="G27" t="str">
        <f>"UPDATE fin.accruals SET accrual_gbp = "&amp;TEXT(F27,"0.00")&amp;", adjustment_note = 'Q2 uplift for "&amp;C27&amp;"'"&amp;" WHERE trade_id = '"&amp;A27&amp;"';"</f>
        <v>UPDATE fin.accruals SET accrual_gbp = 408763.77, adjustment_note = 'Q2 uplift for Northgate Holdings' WHERE trade_id = 'ACC-00012';</v>
      </c>
    </row>
    <row r="28">
      <c r="A28" t="inlineStr">
        <is>
          <t>ACC-00013</t>
        </is>
      </c>
      <c r="B28" t="inlineStr">
        <is>
          <t>E-04</t>
        </is>
      </c>
      <c r="C28" t="str">
        <f>VLOOKUP(A28,'Pre-Adjustment'!$A$19:$G$138,3,FALSE)</f>
        <v>Northgate Holdings</v>
      </c>
      <c r="D28" s="4">
        <f>VLOOKUP(A28,'Pre-Adjustment'!$A$19:$G$138,5,FALSE)</f>
        <v>431131.75</v>
      </c>
      <c r="E28" s="4">
        <f>ROUND(D28*uplift_rate,2)</f>
        <v>19400.93</v>
      </c>
      <c r="F28" s="4">
        <f>ROUND(D28*(1+uplift_rate),2)</f>
        <v>450532.68</v>
      </c>
      <c r="G28" t="str">
        <f>"UPDATE fin.accruals SET accrual_gbp = "&amp;TEXT(F28,"0.00")&amp;", adjustment_note = 'Q2 uplift for "&amp;C28&amp;"'"&amp;" WHERE trade_id = '"&amp;A28&amp;"';"</f>
        <v>UPDATE fin.accruals SET accrual_gbp = 450532.68, adjustment_note = 'Q2 uplift for Northgate Holdings' WHERE trade_id = 'ACC-00013';</v>
      </c>
    </row>
    <row r="29">
      <c r="A29" t="inlineStr">
        <is>
          <t>ACC-00014</t>
        </is>
      </c>
      <c r="B29" t="inlineStr">
        <is>
          <t>E-04</t>
        </is>
      </c>
      <c r="C29" t="str">
        <f>VLOOKUP(A29,'Pre-Adjustment'!$A$19:$G$138,3,FALSE)</f>
        <v>Northgate Holdings</v>
      </c>
      <c r="D29" s="4">
        <f>VLOOKUP(A29,'Pre-Adjustment'!$A$19:$G$138,5,FALSE)</f>
        <v>298714.8</v>
      </c>
      <c r="E29" s="4">
        <f>ROUND(D29*uplift_rate,2)</f>
        <v>13442.17</v>
      </c>
      <c r="F29" s="4">
        <f>ROUND(D29*(1+uplift_rate),2)</f>
        <v>312156.97</v>
      </c>
      <c r="G29" t="str">
        <f>"UPDATE fin.accruals SET accrual_gbp = "&amp;TEXT(F29,"0.00")&amp;", adjustment_note = 'Q2 uplift for "&amp;C29&amp;"'"&amp;" WHERE trade_id = '"&amp;A29&amp;"';"</f>
        <v>UPDATE fin.accruals SET accrual_gbp = 312156.97, adjustment_note = 'Q2 uplift for Northgate Holdings' WHERE trade_id = 'ACC-00014';</v>
      </c>
    </row>
    <row r="30">
      <c r="A30" t="inlineStr">
        <is>
          <t>ACC-00015</t>
        </is>
      </c>
      <c r="B30" t="inlineStr">
        <is>
          <t>E-04</t>
        </is>
      </c>
      <c r="C30" t="str">
        <f>VLOOKUP(A30,'Pre-Adjustment'!$A$19:$G$138,3,FALSE)</f>
        <v>Northgate Holdings</v>
      </c>
      <c r="D30" s="4">
        <f>VLOOKUP(A30,'Pre-Adjustment'!$A$19:$G$138,5,FALSE)</f>
        <v>282345.87</v>
      </c>
      <c r="E30" s="4">
        <f>ROUND(D30*uplift_rate,2)</f>
        <v>12705.56</v>
      </c>
      <c r="F30" s="4">
        <f>ROUND(D30*(1+uplift_rate),2)</f>
        <v>295051.43</v>
      </c>
      <c r="G30" t="str">
        <f>"UPDATE fin.accruals SET accrual_gbp = "&amp;TEXT(F30,"0.00")&amp;", adjustment_note = 'Q2 uplift for "&amp;C30&amp;"'"&amp;" WHERE trade_id = '"&amp;A30&amp;"';"</f>
        <v>UPDATE fin.accruals SET accrual_gbp = 295051.43, adjustment_note = 'Q2 uplift for Northgate Holdings' WHERE trade_id = 'ACC-00015';</v>
      </c>
    </row>
    <row r="31">
      <c r="A31" t="inlineStr">
        <is>
          <t>ACC-00016</t>
        </is>
      </c>
      <c r="B31" t="inlineStr">
        <is>
          <t>E-04</t>
        </is>
      </c>
      <c r="C31" t="str">
        <f>VLOOKUP(A31,'Pre-Adjustment'!$A$19:$G$138,3,FALSE)</f>
        <v>Northgate Holdings</v>
      </c>
      <c r="D31" s="4">
        <f>VLOOKUP(A31,'Pre-Adjustment'!$A$19:$G$138,5,FALSE)</f>
        <v>371666.07</v>
      </c>
      <c r="E31" s="4">
        <f>ROUND(D31*uplift_rate,2)</f>
        <v>16724.97</v>
      </c>
      <c r="F31" s="4">
        <f>ROUND(D31*(1+uplift_rate),2)</f>
        <v>388391.04</v>
      </c>
      <c r="G31" t="str">
        <f>"UPDATE fin.accruals SET accrual_gbp = "&amp;TEXT(F31,"0.00")&amp;", adjustment_note = 'Q2 uplift for "&amp;C31&amp;"'"&amp;" WHERE trade_id = '"&amp;A31&amp;"';"</f>
        <v>UPDATE fin.accruals SET accrual_gbp = 388391.04, adjustment_note = 'Q2 uplift for Northgate Holdings' WHERE trade_id = 'ACC-00016';</v>
      </c>
    </row>
    <row r="32">
      <c r="A32" t="inlineStr">
        <is>
          <t>ACC-00017</t>
        </is>
      </c>
      <c r="B32" t="inlineStr">
        <is>
          <t>E-04</t>
        </is>
      </c>
      <c r="C32" t="str">
        <f>VLOOKUP(A32,'Pre-Adjustment'!$A$19:$G$138,3,FALSE)</f>
        <v>Northgate Holdings</v>
      </c>
      <c r="D32" s="4">
        <f>VLOOKUP(A32,'Pre-Adjustment'!$A$19:$G$138,5,FALSE)</f>
        <v>325472.72</v>
      </c>
      <c r="E32" s="4">
        <f>ROUND(D32*uplift_rate,2)</f>
        <v>14646.27</v>
      </c>
      <c r="F32" s="4">
        <f>ROUND(D32*(1+uplift_rate),2)</f>
        <v>340118.99</v>
      </c>
      <c r="G32" t="str">
        <f>"UPDATE fin.accruals SET accrual_gbp = "&amp;TEXT(F32,"0.00")&amp;", adjustment_note = 'Q2 uplift for "&amp;C32&amp;"'"&amp;" WHERE trade_id = '"&amp;A32&amp;"';"</f>
        <v>UPDATE fin.accruals SET accrual_gbp = 340118.99, adjustment_note = 'Q2 uplift for Northgate Holdings' WHERE trade_id = 'ACC-00017';</v>
      </c>
    </row>
    <row r="33">
      <c r="A33" t="inlineStr">
        <is>
          <t>ACC-00018</t>
        </is>
      </c>
      <c r="B33" t="inlineStr">
        <is>
          <t>E-04</t>
        </is>
      </c>
      <c r="C33" t="str">
        <f>VLOOKUP(A33,'Pre-Adjustment'!$A$19:$G$138,3,FALSE)</f>
        <v>Northgate Holdings</v>
      </c>
      <c r="D33" s="4">
        <f>VLOOKUP(A33,'Pre-Adjustment'!$A$19:$G$138,5,FALSE)</f>
        <v>320335.72</v>
      </c>
      <c r="E33" s="4">
        <f>ROUND(D33*uplift_rate,2)</f>
        <v>14415.11</v>
      </c>
      <c r="F33" s="4">
        <f>ROUND(D33*(1+uplift_rate),2)</f>
        <v>334750.83</v>
      </c>
      <c r="G33" t="str">
        <f>"UPDATE fin.accruals SET accrual_gbp = "&amp;TEXT(F33,"0.00")&amp;", adjustment_note = 'Q2 uplift for "&amp;C33&amp;"'"&amp;" WHERE trade_id = '"&amp;A33&amp;"';"</f>
        <v>UPDATE fin.accruals SET accrual_gbp = 334750.83, adjustment_note = 'Q2 uplift for Northgate Holdings' WHERE trade_id = 'ACC-00018';</v>
      </c>
    </row>
    <row r="34">
      <c r="A34" t="inlineStr">
        <is>
          <t>ACC-00019</t>
        </is>
      </c>
      <c r="B34" t="inlineStr">
        <is>
          <t>E-04</t>
        </is>
      </c>
      <c r="C34" t="str">
        <f>VLOOKUP(A34,'Pre-Adjustment'!$A$19:$G$138,3,FALSE)</f>
        <v>Northgate Holdings</v>
      </c>
      <c r="D34" s="4">
        <f>VLOOKUP(A34,'Pre-Adjustment'!$A$19:$G$138,5,FALSE)</f>
        <v>101855.43</v>
      </c>
      <c r="E34" s="4">
        <f>ROUND(D34*uplift_rate,2)</f>
        <v>4583.49</v>
      </c>
      <c r="F34" s="4">
        <f>ROUND(D34*(1+uplift_rate),2)</f>
        <v>106438.92</v>
      </c>
      <c r="G34" t="str">
        <f>"UPDATE fin.accruals SET accrual_gbp = "&amp;TEXT(F34,"0.00")&amp;", adjustment_note = 'Q2 uplift for "&amp;C34&amp;"'"&amp;" WHERE trade_id = '"&amp;A34&amp;"';"</f>
        <v>UPDATE fin.accruals SET accrual_gbp = 106438.92, adjustment_note = 'Q2 uplift for Northgate Holdings' WHERE trade_id = 'ACC-00019';</v>
      </c>
    </row>
    <row r="35">
      <c r="A35" t="inlineStr">
        <is>
          <t>ACC-00020</t>
        </is>
      </c>
      <c r="B35" t="inlineStr">
        <is>
          <t>E-04</t>
        </is>
      </c>
      <c r="C35" t="str">
        <f>VLOOKUP(A35,'Pre-Adjustment'!$A$19:$G$138,3,FALSE)</f>
        <v>Northgate Holdings</v>
      </c>
      <c r="D35" s="4">
        <f>VLOOKUP(A35,'Pre-Adjustment'!$A$19:$G$138,5,FALSE)</f>
        <v>307249.6</v>
      </c>
      <c r="E35" s="4">
        <f>ROUND(D35*uplift_rate,2)</f>
        <v>13826.23</v>
      </c>
      <c r="F35" s="4">
        <f>ROUND(D35*(1+uplift_rate),2)</f>
        <v>321075.83</v>
      </c>
      <c r="G35" t="str">
        <f>"UPDATE fin.accruals SET accrual_gbp = "&amp;TEXT(F35,"0.00")&amp;", adjustment_note = 'Q2 uplift for "&amp;C35&amp;"'"&amp;" WHERE trade_id = '"&amp;A35&amp;"';"</f>
        <v>UPDATE fin.accruals SET accrual_gbp = 321075.83, adjustment_note = 'Q2 uplift for Northgate Holdings' WHERE trade_id = 'ACC-00020';</v>
      </c>
    </row>
    <row r="36">
      <c r="A36" t="inlineStr">
        <is>
          <t>ACC-00021</t>
        </is>
      </c>
      <c r="B36" t="inlineStr">
        <is>
          <t>E-07</t>
        </is>
      </c>
      <c r="C36" t="str">
        <f>VLOOKUP(A36,'Pre-Adjustment'!$A$19:$G$138,3,FALSE)</f>
        <v>Brightwater Marine</v>
      </c>
      <c r="D36" s="4">
        <f>VLOOKUP(A36,'Pre-Adjustment'!$A$19:$G$138,5,FALSE)</f>
        <v>200435.1</v>
      </c>
      <c r="E36" s="4">
        <f>ROUND(D36*uplift_rate,2)</f>
        <v>9019.58</v>
      </c>
      <c r="F36" s="4">
        <f>ROUND(D36*(1+uplift_rate),2)</f>
        <v>209454.68</v>
      </c>
      <c r="G36" t="str">
        <f>"UPDATE fin.accruals SET accrual_gbp = "&amp;TEXT(F36,"0.00")&amp;", adjustment_note = 'Q2 uplift for "&amp;C36&amp;"'"&amp;" WHERE trade_id = '"&amp;A36&amp;"';"</f>
        <v>UPDATE fin.accruals SET accrual_gbp = 209454.68, adjustment_note = 'Q2 uplift for Brightwater Marine' WHERE trade_id = 'ACC-00021';</v>
      </c>
    </row>
    <row r="37">
      <c r="A37" t="inlineStr">
        <is>
          <t>ACC-00022</t>
        </is>
      </c>
      <c r="B37" t="inlineStr">
        <is>
          <t>E-07</t>
        </is>
      </c>
      <c r="C37" t="str">
        <f>VLOOKUP(A37,'Pre-Adjustment'!$A$19:$G$138,3,FALSE)</f>
        <v>Brightwater Marine</v>
      </c>
      <c r="D37" s="4">
        <f>VLOOKUP(A37,'Pre-Adjustment'!$A$19:$G$138,5,FALSE)</f>
        <v>381613.4</v>
      </c>
      <c r="E37" s="4">
        <f>ROUND(D37*uplift_rate,2)</f>
        <v>17172.6</v>
      </c>
      <c r="F37" s="4">
        <f>ROUND(D37*(1+uplift_rate),2)</f>
        <v>398786</v>
      </c>
      <c r="G37" t="str">
        <f>"UPDATE fin.accruals SET accrual_gbp = "&amp;TEXT(F37,"0.00")&amp;", adjustment_note = 'Q2 uplift for "&amp;C37&amp;"'"&amp;" WHERE trade_id = '"&amp;A37&amp;"';"</f>
        <v>UPDATE fin.accruals SET accrual_gbp = 398786.00, adjustment_note = 'Q2 uplift for Brightwater Marine' WHERE trade_id = 'ACC-00022';</v>
      </c>
    </row>
    <row r="38">
      <c r="A38" t="inlineStr">
        <is>
          <t>ACC-00023</t>
        </is>
      </c>
      <c r="B38" t="inlineStr">
        <is>
          <t>E-07</t>
        </is>
      </c>
      <c r="C38" t="str">
        <f>VLOOKUP(A38,'Pre-Adjustment'!$A$19:$G$138,3,FALSE)</f>
        <v>Brightwater Marine</v>
      </c>
      <c r="D38" s="4">
        <f>VLOOKUP(A38,'Pre-Adjustment'!$A$19:$G$138,5,FALSE)</f>
        <v>116541.12</v>
      </c>
      <c r="E38" s="4">
        <f>ROUND(D38*uplift_rate,2)</f>
        <v>5244.35</v>
      </c>
      <c r="F38" s="4">
        <f>ROUND(D38*(1+uplift_rate),2)</f>
        <v>121785.47</v>
      </c>
      <c r="G38" t="str">
        <f>"UPDATE fin.accruals SET accrual_gbp = "&amp;TEXT(F38,"0.00")&amp;", adjustment_note = 'Q2 uplift for "&amp;C38&amp;"'"&amp;" WHERE trade_id = '"&amp;A38&amp;"';"</f>
        <v>UPDATE fin.accruals SET accrual_gbp = 121785.47, adjustment_note = 'Q2 uplift for Brightwater Marine' WHERE trade_id = 'ACC-00023';</v>
      </c>
    </row>
    <row r="39">
      <c r="A39" t="inlineStr">
        <is>
          <t>ACC-00025</t>
        </is>
      </c>
      <c r="B39" t="inlineStr">
        <is>
          <t>E-07</t>
        </is>
      </c>
      <c r="C39" t="str">
        <f>VLOOKUP(A39,'Pre-Adjustment'!$A$19:$G$138,3,FALSE)</f>
        <v>Brightwater Marine</v>
      </c>
      <c r="D39" s="4">
        <f>VLOOKUP(A39,'Pre-Adjustment'!$A$19:$G$138,5,FALSE)</f>
        <v>451064.69</v>
      </c>
      <c r="E39" s="4">
        <f>ROUND(D39*uplift_rate,2)</f>
        <v>20297.91</v>
      </c>
      <c r="F39" s="4">
        <f>ROUND(D39*(1+uplift_rate),2)</f>
        <v>471362.6</v>
      </c>
      <c r="G39" t="str">
        <f>"UPDATE fin.accruals SET accrual_gbp = "&amp;TEXT(F39,"0.00")&amp;", adjustment_note = 'Q2 uplift for "&amp;C39&amp;"'"&amp;" WHERE trade_id = '"&amp;A39&amp;"';"</f>
        <v>UPDATE fin.accruals SET accrual_gbp = 471362.60, adjustment_note = 'Q2 uplift for Brightwater Marine' WHERE trade_id = 'ACC-00025';</v>
      </c>
    </row>
    <row r="40">
      <c r="A40" t="inlineStr">
        <is>
          <t>ACC-00026</t>
        </is>
      </c>
      <c r="B40" t="inlineStr">
        <is>
          <t>E-07</t>
        </is>
      </c>
      <c r="C40" t="str">
        <f>VLOOKUP(A40,'Pre-Adjustment'!$A$19:$G$138,3,FALSE)</f>
        <v>Brightwater Marine</v>
      </c>
      <c r="D40" s="4">
        <f>VLOOKUP(A40,'Pre-Adjustment'!$A$19:$G$138,5,FALSE)</f>
        <v>164243.13</v>
      </c>
      <c r="E40" s="4">
        <f>ROUND(D40*uplift_rate,2)</f>
        <v>7390.94</v>
      </c>
      <c r="F40" s="4">
        <f>ROUND(D40*(1+uplift_rate),2)</f>
        <v>171634.07</v>
      </c>
      <c r="G40" t="str">
        <f>"UPDATE fin.accruals SET accrual_gbp = "&amp;TEXT(F40,"0.00")&amp;", adjustment_note = 'Q2 uplift for "&amp;C40&amp;"'"&amp;" WHERE trade_id = '"&amp;A40&amp;"';"</f>
        <v>UPDATE fin.accruals SET accrual_gbp = 171634.07, adjustment_note = 'Q2 uplift for Brightwater Marine' WHERE trade_id = 'ACC-00026';</v>
      </c>
    </row>
    <row r="41">
      <c r="A41" t="inlineStr">
        <is>
          <t>ACC-00027</t>
        </is>
      </c>
      <c r="B41" t="inlineStr">
        <is>
          <t>E-07</t>
        </is>
      </c>
      <c r="C41" t="str">
        <f>VLOOKUP(A41,'Pre-Adjustment'!$A$19:$G$138,3,FALSE)</f>
        <v>Brightwater Marine</v>
      </c>
      <c r="D41" s="4">
        <f>VLOOKUP(A41,'Pre-Adjustment'!$A$19:$G$138,5,FALSE)</f>
        <v>267250.48</v>
      </c>
      <c r="E41" s="4">
        <f>ROUND(D41*uplift_rate,2)</f>
        <v>12026.27</v>
      </c>
      <c r="F41" s="4">
        <f>ROUND(D41*(1+uplift_rate),2)</f>
        <v>279276.75</v>
      </c>
      <c r="G41" t="str">
        <f>"UPDATE fin.accruals SET accrual_gbp = "&amp;TEXT(F41,"0.00")&amp;", adjustment_note = 'Q2 uplift for "&amp;C41&amp;"'"&amp;" WHERE trade_id = '"&amp;A41&amp;"';"</f>
        <v>UPDATE fin.accruals SET accrual_gbp = 279276.75, adjustment_note = 'Q2 uplift for Brightwater Marine' WHERE trade_id = 'ACC-00027';</v>
      </c>
    </row>
    <row r="42">
      <c r="A42" t="inlineStr">
        <is>
          <t>ACC-00028</t>
        </is>
      </c>
      <c r="B42" t="inlineStr">
        <is>
          <t>E-07</t>
        </is>
      </c>
      <c r="C42" t="str">
        <f>VLOOKUP(A42,'Pre-Adjustment'!$A$19:$G$138,3,FALSE)</f>
        <v>Brightwater Marine</v>
      </c>
      <c r="D42" s="4">
        <f>VLOOKUP(A42,'Pre-Adjustment'!$A$19:$G$138,5,FALSE)</f>
        <v>400275.36</v>
      </c>
      <c r="E42" s="4">
        <f>ROUND(D42*uplift_rate,2)</f>
        <v>18012.39</v>
      </c>
      <c r="F42" s="4">
        <f>ROUND(D42*(1+uplift_rate),2)</f>
        <v>418287.75</v>
      </c>
      <c r="G42" t="str">
        <f>"UPDATE fin.accruals SET accrual_gbp = "&amp;TEXT(F42,"0.00")&amp;", adjustment_note = 'Q2 uplift for "&amp;C42&amp;"'"&amp;" WHERE trade_id = '"&amp;A42&amp;"';"</f>
        <v>UPDATE fin.accruals SET accrual_gbp = 418287.75, adjustment_note = 'Q2 uplift for Brightwater Marine' WHERE trade_id = 'ACC-00028';</v>
      </c>
    </row>
    <row r="43">
      <c r="A43" t="inlineStr">
        <is>
          <t>ACC-00029</t>
        </is>
      </c>
      <c r="B43" t="inlineStr">
        <is>
          <t>E-07</t>
        </is>
      </c>
      <c r="C43" t="str">
        <f>VLOOKUP(A43,'Pre-Adjustment'!$A$19:$G$138,3,FALSE)</f>
        <v>Brightwater Marine</v>
      </c>
      <c r="D43" s="4">
        <f>VLOOKUP(A43,'Pre-Adjustment'!$A$19:$G$138,5,FALSE)</f>
        <v>74150.48</v>
      </c>
      <c r="E43" s="4">
        <f>ROUND(D43*uplift_rate,2)</f>
        <v>3336.77</v>
      </c>
      <c r="F43" s="4">
        <f>ROUND(D43*(1+uplift_rate),2)</f>
        <v>77487.25</v>
      </c>
      <c r="G43" t="str">
        <f>"UPDATE fin.accruals SET accrual_gbp = "&amp;TEXT(F43,"0.00")&amp;", adjustment_note = 'Q2 uplift for "&amp;C43&amp;"'"&amp;" WHERE trade_id = '"&amp;A43&amp;"';"</f>
        <v>UPDATE fin.accruals SET accrual_gbp = 77487.25, adjustment_note = 'Q2 uplift for Brightwater Marine' WHERE trade_id = 'ACC-00029';</v>
      </c>
    </row>
    <row r="44">
      <c r="A44" t="inlineStr">
        <is>
          <t>ACC-00030</t>
        </is>
      </c>
      <c r="B44" t="inlineStr">
        <is>
          <t>E-07</t>
        </is>
      </c>
      <c r="C44" t="str">
        <f>VLOOKUP(A44,'Pre-Adjustment'!$A$19:$G$138,3,FALSE)</f>
        <v>Brightwater Marine</v>
      </c>
      <c r="D44" s="4">
        <f>VLOOKUP(A44,'Pre-Adjustment'!$A$19:$G$138,5,FALSE)</f>
        <v>187462.59</v>
      </c>
      <c r="E44" s="4">
        <f>ROUND(D44*uplift_rate,2)</f>
        <v>8435.82</v>
      </c>
      <c r="F44" s="4">
        <f>ROUND(D44*(1+uplift_rate),2)</f>
        <v>195898.41</v>
      </c>
      <c r="G44" t="str">
        <f>"UPDATE fin.accruals SET accrual_gbp = "&amp;TEXT(F44,"0.00")&amp;", adjustment_note = 'Q2 uplift for "&amp;C44&amp;"'"&amp;" WHERE trade_id = '"&amp;A44&amp;"';"</f>
        <v>UPDATE fin.accruals SET accrual_gbp = 195898.41, adjustment_note = 'Q2 uplift for Brightwater Marine' WHERE trade_id = 'ACC-00030';</v>
      </c>
    </row>
    <row r="45">
      <c r="A45" t="inlineStr">
        <is>
          <t>ACC-00031</t>
        </is>
      </c>
      <c r="B45" t="inlineStr">
        <is>
          <t>E-07</t>
        </is>
      </c>
      <c r="C45" t="str">
        <f>VLOOKUP(A45,'Pre-Adjustment'!$A$19:$G$138,3,FALSE)</f>
        <v>Brightwater Marine</v>
      </c>
      <c r="D45" s="4">
        <f>VLOOKUP(A45,'Pre-Adjustment'!$A$19:$G$138,5,FALSE)</f>
        <v>463000.15</v>
      </c>
      <c r="E45" s="4">
        <f>ROUND(D45*uplift_rate,2)</f>
        <v>20835.01</v>
      </c>
      <c r="F45" s="4">
        <f>ROUND(D45*(1+uplift_rate),2)</f>
        <v>483835.16</v>
      </c>
      <c r="G45" t="str">
        <f>"UPDATE fin.accruals SET accrual_gbp = "&amp;TEXT(F45,"0.00")&amp;", adjustment_note = 'Q2 uplift for "&amp;C45&amp;"'"&amp;" WHERE trade_id = '"&amp;A45&amp;"';"</f>
        <v>UPDATE fin.accruals SET accrual_gbp = 483835.16, adjustment_note = 'Q2 uplift for Brightwater Marine' WHERE trade_id = 'ACC-00031';</v>
      </c>
    </row>
    <row r="46">
      <c r="A46" t="inlineStr">
        <is>
          <t>ACC-00032</t>
        </is>
      </c>
      <c r="B46" t="inlineStr">
        <is>
          <t>E-07</t>
        </is>
      </c>
      <c r="C46" t="str">
        <f>VLOOKUP(A46,'Pre-Adjustment'!$A$19:$G$138,3,FALSE)</f>
        <v>Brightwater Marine</v>
      </c>
      <c r="D46" s="4">
        <f>VLOOKUP(A46,'Pre-Adjustment'!$A$19:$G$138,5,FALSE)</f>
        <v>446618.19</v>
      </c>
      <c r="E46" s="4">
        <f>ROUND(D46*uplift_rate,2)</f>
        <v>20097.82</v>
      </c>
      <c r="F46" s="4">
        <f>ROUND(D46*(1+uplift_rate),2)</f>
        <v>466716.01</v>
      </c>
      <c r="G46" t="str">
        <f>"UPDATE fin.accruals SET accrual_gbp = "&amp;TEXT(F46,"0.00")&amp;", adjustment_note = 'Q2 uplift for "&amp;C46&amp;"'"&amp;" WHERE trade_id = '"&amp;A46&amp;"';"</f>
        <v>UPDATE fin.accruals SET accrual_gbp = 466716.01, adjustment_note = 'Q2 uplift for Brightwater Marine' WHERE trade_id = 'ACC-00032';</v>
      </c>
    </row>
    <row r="47">
      <c r="A47" t="inlineStr">
        <is>
          <t>ACC-00033</t>
        </is>
      </c>
      <c r="B47" t="inlineStr">
        <is>
          <t>E-07</t>
        </is>
      </c>
      <c r="C47" t="str">
        <f>VLOOKUP(A47,'Pre-Adjustment'!$A$19:$G$138,3,FALSE)</f>
        <v>Brightwater Marine</v>
      </c>
      <c r="D47" s="4">
        <f>VLOOKUP(A47,'Pre-Adjustment'!$A$19:$G$138,5,FALSE)</f>
        <v>200017.73</v>
      </c>
      <c r="E47" s="4">
        <f>ROUND(D47*uplift_rate,2)</f>
        <v>9000.8</v>
      </c>
      <c r="F47" s="4">
        <f>ROUND(D47*(1+uplift_rate),2)</f>
        <v>209018.53</v>
      </c>
      <c r="G47" t="str">
        <f>"UPDATE fin.accruals SET accrual_gbp = "&amp;TEXT(F47,"0.00")&amp;", adjustment_note = 'Q2 uplift for "&amp;C47&amp;"'"&amp;" WHERE trade_id = '"&amp;A47&amp;"';"</f>
        <v>UPDATE fin.accruals SET accrual_gbp = 209018.53, adjustment_note = 'Q2 uplift for Brightwater Marine' WHERE trade_id = 'ACC-00033';</v>
      </c>
    </row>
    <row r="48">
      <c r="A48" t="inlineStr">
        <is>
          <t>ACC-00034</t>
        </is>
      </c>
      <c r="B48" t="inlineStr">
        <is>
          <t>E-07</t>
        </is>
      </c>
      <c r="C48" t="str">
        <f>VLOOKUP(A48,'Pre-Adjustment'!$A$19:$G$138,3,FALSE)</f>
        <v>Brightwater Marine</v>
      </c>
      <c r="D48" s="4">
        <f>VLOOKUP(A48,'Pre-Adjustment'!$A$19:$G$138,5,FALSE)</f>
        <v>83011.68</v>
      </c>
      <c r="E48" s="4">
        <f>ROUND(D48*uplift_rate,2)</f>
        <v>3735.53</v>
      </c>
      <c r="F48" s="4">
        <f>ROUND(D48*(1+uplift_rate),2)</f>
        <v>86747.21</v>
      </c>
      <c r="G48" t="str">
        <f>"UPDATE fin.accruals SET accrual_gbp = "&amp;TEXT(F48,"0.00")&amp;", adjustment_note = 'Q2 uplift for "&amp;C48&amp;"'"&amp;" WHERE trade_id = '"&amp;A48&amp;"';"</f>
        <v>UPDATE fin.accruals SET accrual_gbp = 86747.21, adjustment_note = 'Q2 uplift for Brightwater Marine' WHERE trade_id = 'ACC-00034';</v>
      </c>
    </row>
    <row r="49">
      <c r="A49" t="inlineStr">
        <is>
          <t>ACC-00035</t>
        </is>
      </c>
      <c r="B49" t="inlineStr">
        <is>
          <t>E-07</t>
        </is>
      </c>
      <c r="C49" t="str">
        <f>VLOOKUP(A49,'Pre-Adjustment'!$A$19:$G$138,3,FALSE)</f>
        <v>Brightwater Marine</v>
      </c>
      <c r="D49" s="4">
        <f>VLOOKUP(A49,'Pre-Adjustment'!$A$19:$G$138,5,FALSE)</f>
        <v>459477.74</v>
      </c>
      <c r="E49" s="4">
        <f>ROUND(D49*uplift_rate,2)</f>
        <v>20676.5</v>
      </c>
      <c r="F49" s="4">
        <f>ROUND(D49*(1+uplift_rate),2)</f>
        <v>480154.24</v>
      </c>
      <c r="G49" t="str">
        <f>"UPDATE fin.accruals SET accrual_gbp = "&amp;TEXT(F49,"0.00")&amp;", adjustment_note = 'Q2 uplift for "&amp;C49&amp;"'"&amp;" WHERE trade_id = '"&amp;A49&amp;"';"</f>
        <v>UPDATE fin.accruals SET accrual_gbp = 480154.24, adjustment_note = 'Q2 uplift for Brightwater Marine' WHERE trade_id = 'ACC-00035';</v>
      </c>
    </row>
    <row r="50">
      <c r="A50" t="inlineStr">
        <is>
          <t>ACC-00036</t>
        </is>
      </c>
      <c r="B50" t="inlineStr">
        <is>
          <t>E-07</t>
        </is>
      </c>
      <c r="C50" t="str">
        <f>VLOOKUP(A50,'Pre-Adjustment'!$A$19:$G$138,3,FALSE)</f>
        <v>Brightwater Marine</v>
      </c>
      <c r="D50" s="4">
        <f>VLOOKUP(A50,'Pre-Adjustment'!$A$19:$G$138,5,FALSE)</f>
        <v>207494.76</v>
      </c>
      <c r="E50" s="4">
        <f>ROUND(D50*uplift_rate,2)</f>
        <v>9337.26</v>
      </c>
      <c r="F50" s="4">
        <f>ROUND(D50*(1+uplift_rate),2)</f>
        <v>216832.02</v>
      </c>
      <c r="G50" t="str">
        <f>"UPDATE fin.accruals SET accrual_gbp = "&amp;TEXT(F50,"0.00")&amp;", adjustment_note = 'Q2 uplift for "&amp;C50&amp;"'"&amp;" WHERE trade_id = '"&amp;A50&amp;"';"</f>
        <v>UPDATE fin.accruals SET accrual_gbp = 216832.02, adjustment_note = 'Q2 uplift for Brightwater Marine' WHERE trade_id = 'ACC-00036';</v>
      </c>
    </row>
    <row r="51">
      <c r="A51" t="inlineStr">
        <is>
          <t>ACC-00037</t>
        </is>
      </c>
      <c r="B51" t="inlineStr">
        <is>
          <t>E-07</t>
        </is>
      </c>
      <c r="C51" t="str">
        <f>VLOOKUP(A51,'Pre-Adjustment'!$A$19:$G$138,3,FALSE)</f>
        <v>Brightwater Marine</v>
      </c>
      <c r="D51" s="4">
        <f>VLOOKUP(A51,'Pre-Adjustment'!$A$19:$G$138,5,FALSE)</f>
        <v>364661.33</v>
      </c>
      <c r="E51" s="4">
        <f>ROUND(D51*uplift_rate,2)</f>
        <v>16409.76</v>
      </c>
      <c r="F51" s="4">
        <f>ROUND(D51*(1+uplift_rate),2)</f>
        <v>381071.09</v>
      </c>
      <c r="G51" t="str">
        <f>"UPDATE fin.accruals SET accrual_gbp = "&amp;TEXT(F51,"0.00")&amp;", adjustment_note = 'Q2 uplift for "&amp;C51&amp;"'"&amp;" WHERE trade_id = '"&amp;A51&amp;"';"</f>
        <v>UPDATE fin.accruals SET accrual_gbp = 381071.09, adjustment_note = 'Q2 uplift for Brightwater Marine' WHERE trade_id = 'ACC-00037';</v>
      </c>
    </row>
    <row r="52">
      <c r="A52" t="inlineStr">
        <is>
          <t>ACC-00038</t>
        </is>
      </c>
      <c r="B52" t="inlineStr">
        <is>
          <t>E-07</t>
        </is>
      </c>
      <c r="C52" t="str">
        <f>VLOOKUP(A52,'Pre-Adjustment'!$A$19:$G$138,3,FALSE)</f>
        <v>Brightwater Marine</v>
      </c>
      <c r="D52" s="4">
        <f>VLOOKUP(A52,'Pre-Adjustment'!$A$19:$G$138,5,FALSE)</f>
        <v>205995.78</v>
      </c>
      <c r="E52" s="4">
        <f>ROUND(D52*uplift_rate,2)</f>
        <v>9269.81</v>
      </c>
      <c r="F52" s="4">
        <f>ROUND(D52*(1+uplift_rate),2)</f>
        <v>215265.59</v>
      </c>
      <c r="G52" t="str">
        <f>"UPDATE fin.accruals SET accrual_gbp = "&amp;TEXT(F52,"0.00")&amp;", adjustment_note = 'Q2 uplift for "&amp;C52&amp;"'"&amp;" WHERE trade_id = '"&amp;A52&amp;"';"</f>
        <v>UPDATE fin.accruals SET accrual_gbp = 215265.59, adjustment_note = 'Q2 uplift for Brightwater Marine' WHERE trade_id = 'ACC-00038';</v>
      </c>
    </row>
    <row r="53">
      <c r="A53" t="inlineStr">
        <is>
          <t>ACC-00039</t>
        </is>
      </c>
      <c r="B53" t="inlineStr">
        <is>
          <t>E-07</t>
        </is>
      </c>
      <c r="C53" t="str">
        <f>VLOOKUP(A53,'Pre-Adjustment'!$A$19:$G$138,3,FALSE)</f>
        <v>Brightwater Marine</v>
      </c>
      <c r="D53" s="4">
        <f>VLOOKUP(A53,'Pre-Adjustment'!$A$19:$G$138,5,FALSE)</f>
        <v>235036.75</v>
      </c>
      <c r="E53" s="4">
        <f>ROUND(D53*uplift_rate,2)</f>
        <v>10576.65</v>
      </c>
      <c r="F53" s="4">
        <f>ROUND(D53*(1+uplift_rate),2)</f>
        <v>245613.4</v>
      </c>
      <c r="G53" t="str">
        <f>"UPDATE fin.accruals SET accrual_gbp = "&amp;TEXT(F53,"0.00")&amp;", adjustment_note = 'Q2 uplift for "&amp;C53&amp;"'"&amp;" WHERE trade_id = '"&amp;A53&amp;"';"</f>
        <v>UPDATE fin.accruals SET accrual_gbp = 245613.40, adjustment_note = 'Q2 uplift for Brightwater Marine' WHERE trade_id = 'ACC-00039';</v>
      </c>
    </row>
    <row r="54">
      <c r="A54" t="inlineStr">
        <is>
          <t>ACC-00040</t>
        </is>
      </c>
      <c r="B54" t="inlineStr">
        <is>
          <t>E-07</t>
        </is>
      </c>
      <c r="C54" t="str">
        <f>VLOOKUP(A54,'Pre-Adjustment'!$A$19:$G$138,3,FALSE)</f>
        <v>Brightwater Marine</v>
      </c>
      <c r="D54" s="4">
        <f>VLOOKUP(A54,'Pre-Adjustment'!$A$19:$G$138,5,FALSE)</f>
        <v>336090.62</v>
      </c>
      <c r="E54" s="4">
        <f>ROUND(D54*uplift_rate,2)</f>
        <v>15124.08</v>
      </c>
      <c r="F54" s="4">
        <f>ROUND(D54*(1+uplift_rate),2)</f>
        <v>351214.7</v>
      </c>
      <c r="G54" t="str">
        <f>"UPDATE fin.accruals SET accrual_gbp = "&amp;TEXT(F54,"0.00")&amp;", adjustment_note = 'Q2 uplift for "&amp;C54&amp;"'"&amp;" WHERE trade_id = '"&amp;A54&amp;"';"</f>
        <v>UPDATE fin.accruals SET accrual_gbp = 351214.70, adjustment_note = 'Q2 uplift for Brightwater Marine' WHERE trade_id = 'ACC-00040';</v>
      </c>
    </row>
    <row r="55">
      <c r="A55" t="inlineStr">
        <is>
          <t>ACC-00041</t>
        </is>
      </c>
      <c r="B55" t="inlineStr">
        <is>
          <t>E-09</t>
        </is>
      </c>
      <c r="C55" t="str">
        <f>VLOOKUP(A55,'Pre-Adjustment'!$A$19:$G$138,3,FALSE)</f>
        <v>O'Brien &amp; Partners</v>
      </c>
      <c r="D55" s="4">
        <f>VLOOKUP(A55,'Pre-Adjustment'!$A$19:$G$138,5,FALSE)</f>
        <v>269365.93</v>
      </c>
      <c r="E55" s="4">
        <f>ROUND(D55*uplift_rate,2)</f>
        <v>12121.47</v>
      </c>
      <c r="F55" s="4">
        <f>ROUND(D55*(1+uplift_rate),2)</f>
        <v>281487.4</v>
      </c>
      <c r="G55" t="str">
        <f>"UPDATE fin.accruals SET accrual_gbp = "&amp;TEXT(F55,"0.00")&amp;", adjustment_note = 'Q2 uplift for "&amp;C55&amp;"'"&amp;" WHERE trade_id = '"&amp;A55&amp;"';"</f>
        <v>UPDATE fin.accruals SET accrual_gbp = 281487.40, adjustment_note = 'Q2 uplift for O'Brien &amp; Partners' WHERE trade_id = 'ACC-00041';</v>
      </c>
    </row>
    <row r="56">
      <c r="A56" t="inlineStr">
        <is>
          <t>ACC-00042</t>
        </is>
      </c>
      <c r="B56" t="inlineStr">
        <is>
          <t>E-09</t>
        </is>
      </c>
      <c r="C56" t="str">
        <f>VLOOKUP(A56,'Pre-Adjustment'!$A$19:$G$138,3,FALSE)</f>
        <v>O'Brien &amp; Partners</v>
      </c>
      <c r="D56" s="4">
        <f>VLOOKUP(A56,'Pre-Adjustment'!$A$19:$G$138,5,FALSE)</f>
        <v>132470.73</v>
      </c>
      <c r="E56" s="4">
        <f>ROUND(D56*uplift_rate,2)</f>
        <v>5961.18</v>
      </c>
      <c r="F56" s="4">
        <f>ROUND(D56*(1+uplift_rate),2)</f>
        <v>138431.91</v>
      </c>
      <c r="G56" t="str">
        <f>"UPDATE fin.accruals SET accrual_gbp = "&amp;TEXT(F56,"0.00")&amp;", adjustment_note = 'Q2 uplift for "&amp;C56&amp;"'"&amp;" WHERE trade_id = '"&amp;A56&amp;"';"</f>
        <v>UPDATE fin.accruals SET accrual_gbp = 138431.91, adjustment_note = 'Q2 uplift for O'Brien &amp; Partners' WHERE trade_id = 'ACC-00042';</v>
      </c>
    </row>
    <row r="57">
      <c r="A57" t="inlineStr">
        <is>
          <t>ACC-00043</t>
        </is>
      </c>
      <c r="B57" t="inlineStr">
        <is>
          <t>E-09</t>
        </is>
      </c>
      <c r="C57" t="str">
        <f>VLOOKUP(A57,'Pre-Adjustment'!$A$19:$G$138,3,FALSE)</f>
        <v>O'Brien &amp; Partners</v>
      </c>
      <c r="D57" s="4">
        <f>VLOOKUP(A57,'Pre-Adjustment'!$A$19:$G$138,5,FALSE)</f>
        <v>456693.51</v>
      </c>
      <c r="E57" s="4">
        <f>ROUND(D57*uplift_rate,2)</f>
        <v>20551.21</v>
      </c>
      <c r="F57" s="4">
        <f>ROUND(D57*(1+uplift_rate),2)</f>
        <v>477244.72</v>
      </c>
      <c r="G57" t="str">
        <f>"UPDATE fin.accruals SET accrual_gbp = "&amp;TEXT(F57,"0.00")&amp;", adjustment_note = 'Q2 uplift for "&amp;C57&amp;"'"&amp;" WHERE trade_id = '"&amp;A57&amp;"';"</f>
        <v>UPDATE fin.accruals SET accrual_gbp = 477244.72, adjustment_note = 'Q2 uplift for O'Brien &amp; Partners' WHERE trade_id = 'ACC-00043';</v>
      </c>
    </row>
    <row r="58">
      <c r="A58" t="inlineStr">
        <is>
          <t>ACC-00045</t>
        </is>
      </c>
      <c r="B58" t="inlineStr">
        <is>
          <t>E-09</t>
        </is>
      </c>
      <c r="C58" t="str">
        <f>VLOOKUP(A58,'Pre-Adjustment'!$A$19:$G$138,3,FALSE)</f>
        <v>O'Brien &amp; Partners</v>
      </c>
      <c r="D58" s="4">
        <f>VLOOKUP(A58,'Pre-Adjustment'!$A$19:$G$138,5,FALSE)</f>
        <v>280245.15</v>
      </c>
      <c r="E58" s="4">
        <f>ROUND(D58*uplift_rate,2)</f>
        <v>12611.03</v>
      </c>
      <c r="F58" s="4">
        <f>ROUND(D58*(1+uplift_rate),2)</f>
        <v>292856.18</v>
      </c>
      <c r="G58" t="str">
        <f>"UPDATE fin.accruals SET accrual_gbp = "&amp;TEXT(F58,"0.00")&amp;", adjustment_note = 'Q2 uplift for "&amp;C58&amp;"'"&amp;" WHERE trade_id = '"&amp;A58&amp;"';"</f>
        <v>UPDATE fin.accruals SET accrual_gbp = 292856.18, adjustment_note = 'Q2 uplift for O'Brien &amp; Partners' WHERE trade_id = 'ACC-00045';</v>
      </c>
    </row>
    <row r="59">
      <c r="A59" t="inlineStr">
        <is>
          <t>ACC-00046</t>
        </is>
      </c>
      <c r="B59" t="inlineStr">
        <is>
          <t>E-09</t>
        </is>
      </c>
      <c r="C59" t="str">
        <f>VLOOKUP(A59,'Pre-Adjustment'!$A$19:$G$138,3,FALSE)</f>
        <v>O'Brien &amp; Partners</v>
      </c>
      <c r="D59" s="4">
        <f>VLOOKUP(A59,'Pre-Adjustment'!$A$19:$G$138,5,FALSE)</f>
        <v>189984.66</v>
      </c>
      <c r="E59" s="4">
        <f>ROUND(D59*uplift_rate,2)</f>
        <v>8549.31</v>
      </c>
      <c r="F59" s="4">
        <f>ROUND(D59*(1+uplift_rate),2)</f>
        <v>198533.97</v>
      </c>
      <c r="G59" t="str">
        <f>"UPDATE fin.accruals SET accrual_gbp = "&amp;TEXT(F59,"0.00")&amp;", adjustment_note = 'Q2 uplift for "&amp;C59&amp;"'"&amp;" WHERE trade_id = '"&amp;A59&amp;"';"</f>
        <v>UPDATE fin.accruals SET accrual_gbp = 198533.97, adjustment_note = 'Q2 uplift for O'Brien &amp; Partners' WHERE trade_id = 'ACC-00046';</v>
      </c>
    </row>
    <row r="60">
      <c r="A60" t="inlineStr">
        <is>
          <t>ACC-00047</t>
        </is>
      </c>
      <c r="B60" t="inlineStr">
        <is>
          <t>E-09</t>
        </is>
      </c>
      <c r="C60" t="str">
        <f>VLOOKUP(A60,'Pre-Adjustment'!$A$19:$G$138,3,FALSE)</f>
        <v>O'Brien &amp; Partners</v>
      </c>
      <c r="D60" s="4">
        <f>VLOOKUP(A60,'Pre-Adjustment'!$A$19:$G$138,5,FALSE)</f>
        <v>249179.12</v>
      </c>
      <c r="E60" s="4">
        <f>ROUND(D60*uplift_rate,2)</f>
        <v>11213.06</v>
      </c>
      <c r="F60" s="4">
        <f>ROUND(D60*(1+uplift_rate),2)</f>
        <v>260392.18</v>
      </c>
      <c r="G60" t="str">
        <f>"UPDATE fin.accruals SET accrual_gbp = "&amp;TEXT(F60,"0.00")&amp;", adjustment_note = 'Q2 uplift for "&amp;C60&amp;"'"&amp;" WHERE trade_id = '"&amp;A60&amp;"';"</f>
        <v>UPDATE fin.accruals SET accrual_gbp = 260392.18, adjustment_note = 'Q2 uplift for O'Brien &amp; Partners' WHERE trade_id = 'ACC-00047';</v>
      </c>
    </row>
    <row r="61">
      <c r="A61" t="inlineStr">
        <is>
          <t>ACC-00048</t>
        </is>
      </c>
      <c r="B61" t="inlineStr">
        <is>
          <t>E-09</t>
        </is>
      </c>
      <c r="C61" t="str">
        <f>VLOOKUP(A61,'Pre-Adjustment'!$A$19:$G$138,3,FALSE)</f>
        <v>O'Brien &amp; Partners</v>
      </c>
      <c r="D61" s="4">
        <f>VLOOKUP(A61,'Pre-Adjustment'!$A$19:$G$138,5,FALSE)</f>
        <v>64261.78</v>
      </c>
      <c r="E61" s="4">
        <f>ROUND(D61*uplift_rate,2)</f>
        <v>2891.78</v>
      </c>
      <c r="F61" s="4">
        <f>ROUND(D61*(1+uplift_rate),2)</f>
        <v>67153.56</v>
      </c>
      <c r="G61" t="str">
        <f>"UPDATE fin.accruals SET accrual_gbp = "&amp;TEXT(F61,"0.00")&amp;", adjustment_note = 'Q2 uplift for "&amp;C61&amp;"'"&amp;" WHERE trade_id = '"&amp;A61&amp;"';"</f>
        <v>UPDATE fin.accruals SET accrual_gbp = 67153.56, adjustment_note = 'Q2 uplift for O'Brien &amp; Partners' WHERE trade_id = 'ACC-00048';</v>
      </c>
    </row>
    <row r="62">
      <c r="A62" t="inlineStr">
        <is>
          <t>ACC-00049</t>
        </is>
      </c>
      <c r="B62" t="inlineStr">
        <is>
          <t>E-09</t>
        </is>
      </c>
      <c r="C62" t="str">
        <f>VLOOKUP(A62,'Pre-Adjustment'!$A$19:$G$138,3,FALSE)</f>
        <v>O'Brien &amp; Partners</v>
      </c>
      <c r="D62" s="4">
        <f>VLOOKUP(A62,'Pre-Adjustment'!$A$19:$G$138,5,FALSE)</f>
        <v>245017.85</v>
      </c>
      <c r="E62" s="4">
        <f>ROUND(D62*uplift_rate,2)</f>
        <v>11025.8</v>
      </c>
      <c r="F62" s="4">
        <f>ROUND(D62*(1+uplift_rate),2)</f>
        <v>256043.65</v>
      </c>
      <c r="G62" t="str">
        <f>"UPDATE fin.accruals SET accrual_gbp = "&amp;TEXT(F62,"0.00")&amp;", adjustment_note = 'Q2 uplift for "&amp;C62&amp;"'"&amp;" WHERE trade_id = '"&amp;A62&amp;"';"</f>
        <v>UPDATE fin.accruals SET accrual_gbp = 256043.65, adjustment_note = 'Q2 uplift for O'Brien &amp; Partners' WHERE trade_id = 'ACC-00049';</v>
      </c>
    </row>
    <row r="63">
      <c r="A63" t="inlineStr">
        <is>
          <t>ACC-00050</t>
        </is>
      </c>
      <c r="B63" t="inlineStr">
        <is>
          <t>E-09</t>
        </is>
      </c>
      <c r="C63" t="str">
        <f>VLOOKUP(A63,'Pre-Adjustment'!$A$19:$G$138,3,FALSE)</f>
        <v>O'Brien &amp; Partners</v>
      </c>
      <c r="D63" s="4">
        <f>VLOOKUP(A63,'Pre-Adjustment'!$A$19:$G$138,5,FALSE)</f>
        <v>406598.27</v>
      </c>
      <c r="E63" s="4">
        <f>ROUND(D63*uplift_rate,2)</f>
        <v>18296.92</v>
      </c>
      <c r="F63" s="4">
        <f>ROUND(D63*(1+uplift_rate),2)</f>
        <v>424895.19</v>
      </c>
      <c r="G63" t="str">
        <f>"UPDATE fin.accruals SET accrual_gbp = "&amp;TEXT(F63,"0.00")&amp;", adjustment_note = 'Q2 uplift for "&amp;C63&amp;"'"&amp;" WHERE trade_id = '"&amp;A63&amp;"';"</f>
        <v>UPDATE fin.accruals SET accrual_gbp = 424895.19, adjustment_note = 'Q2 uplift for O'Brien &amp; Partners' WHERE trade_id = 'ACC-00050';</v>
      </c>
    </row>
    <row r="64">
      <c r="A64" t="inlineStr">
        <is>
          <t>ACC-00051</t>
        </is>
      </c>
      <c r="B64" t="inlineStr">
        <is>
          <t>E-09</t>
        </is>
      </c>
      <c r="C64" t="str">
        <f>VLOOKUP(A64,'Pre-Adjustment'!$A$19:$G$138,3,FALSE)</f>
        <v>O'Brien &amp; Partners</v>
      </c>
      <c r="D64" s="4">
        <f>VLOOKUP(A64,'Pre-Adjustment'!$A$19:$G$138,5,FALSE)</f>
        <v>440440.03</v>
      </c>
      <c r="E64" s="4">
        <f>ROUND(D64*uplift_rate,2)</f>
        <v>19819.8</v>
      </c>
      <c r="F64" s="4">
        <f>ROUND(D64*(1+uplift_rate),2)</f>
        <v>460259.83</v>
      </c>
      <c r="G64" t="str">
        <f>"UPDATE fin.accruals SET accrual_gbp = "&amp;TEXT(F64,"0.00")&amp;", adjustment_note = 'Q2 uplift for "&amp;C64&amp;"'"&amp;" WHERE trade_id = '"&amp;A64&amp;"';"</f>
        <v>UPDATE fin.accruals SET accrual_gbp = 460259.83, adjustment_note = 'Q2 uplift for O'Brien &amp; Partners' WHERE trade_id = 'ACC-00051';</v>
      </c>
    </row>
    <row r="65">
      <c r="A65" t="inlineStr">
        <is>
          <t>ACC-00052</t>
        </is>
      </c>
      <c r="B65" t="inlineStr">
        <is>
          <t>E-09</t>
        </is>
      </c>
      <c r="C65" t="str">
        <f>VLOOKUP(A65,'Pre-Adjustment'!$A$19:$G$138,3,FALSE)</f>
        <v>O'Brien &amp; Partners</v>
      </c>
      <c r="D65" s="4">
        <f>VLOOKUP(A65,'Pre-Adjustment'!$A$19:$G$138,5,FALSE)</f>
        <v>316600.95</v>
      </c>
      <c r="E65" s="4">
        <f>ROUND(D65*uplift_rate,2)</f>
        <v>14247.04</v>
      </c>
      <c r="F65" s="4">
        <f>ROUND(D65*(1+uplift_rate),2)</f>
        <v>330847.99</v>
      </c>
      <c r="G65" t="str">
        <f>"UPDATE fin.accruals SET accrual_gbp = "&amp;TEXT(F65,"0.00")&amp;", adjustment_note = 'Q2 uplift for "&amp;C65&amp;"'"&amp;" WHERE trade_id = '"&amp;A65&amp;"';"</f>
        <v>UPDATE fin.accruals SET accrual_gbp = 330847.99, adjustment_note = 'Q2 uplift for O'Brien &amp; Partners' WHERE trade_id = 'ACC-00052';</v>
      </c>
    </row>
    <row r="66">
      <c r="A66" t="inlineStr">
        <is>
          <t>ACC-00053</t>
        </is>
      </c>
      <c r="B66" t="inlineStr">
        <is>
          <t>E-09</t>
        </is>
      </c>
      <c r="C66" t="str">
        <f>VLOOKUP(A66,'Pre-Adjustment'!$A$19:$G$138,3,FALSE)</f>
        <v>O'Brien &amp; Partners</v>
      </c>
      <c r="D66" s="4">
        <f>VLOOKUP(A66,'Pre-Adjustment'!$A$19:$G$138,5,FALSE)</f>
        <v>11291.85</v>
      </c>
      <c r="E66" s="4">
        <f>ROUND(D66*uplift_rate,2)</f>
        <v>508.13</v>
      </c>
      <c r="F66" s="4">
        <f>ROUND(D66*(1+uplift_rate),2)</f>
        <v>11799.98</v>
      </c>
      <c r="G66" t="str">
        <f>"UPDATE fin.accruals SET accrual_gbp = "&amp;TEXT(F66,"0.00")&amp;", adjustment_note = 'Q2 uplift for "&amp;C66&amp;"'"&amp;" WHERE trade_id = '"&amp;A66&amp;"';"</f>
        <v>UPDATE fin.accruals SET accrual_gbp = 11799.98, adjustment_note = 'Q2 uplift for O'Brien &amp; Partners' WHERE trade_id = 'ACC-00053';</v>
      </c>
    </row>
    <row r="67">
      <c r="A67" t="inlineStr">
        <is>
          <t>ACC-00054</t>
        </is>
      </c>
      <c r="B67" t="inlineStr">
        <is>
          <t>E-09</t>
        </is>
      </c>
      <c r="C67" t="str">
        <f>VLOOKUP(A67,'Pre-Adjustment'!$A$19:$G$138,3,FALSE)</f>
        <v>O'Brien &amp; Partners</v>
      </c>
      <c r="D67" s="4">
        <f>VLOOKUP(A67,'Pre-Adjustment'!$A$19:$G$138,5,FALSE)</f>
        <v>440373.92</v>
      </c>
      <c r="E67" s="4">
        <f>ROUND(D67*uplift_rate,2)</f>
        <v>19816.83</v>
      </c>
      <c r="F67" s="4">
        <f>ROUND(D67*(1+uplift_rate),2)</f>
        <v>460190.75</v>
      </c>
      <c r="G67" t="str">
        <f>"UPDATE fin.accruals SET accrual_gbp = "&amp;TEXT(F67,"0.00")&amp;", adjustment_note = 'Q2 uplift for "&amp;C67&amp;"'"&amp;" WHERE trade_id = '"&amp;A67&amp;"';"</f>
        <v>UPDATE fin.accruals SET accrual_gbp = 460190.75, adjustment_note = 'Q2 uplift for O'Brien &amp; Partners' WHERE trade_id = 'ACC-00054';</v>
      </c>
    </row>
    <row r="68">
      <c r="A68" t="inlineStr">
        <is>
          <t>ACC-00055</t>
        </is>
      </c>
      <c r="B68" t="inlineStr">
        <is>
          <t>E-09</t>
        </is>
      </c>
      <c r="C68" t="str">
        <f>VLOOKUP(A68,'Pre-Adjustment'!$A$19:$G$138,3,FALSE)</f>
        <v>O'Brien &amp; Partners</v>
      </c>
      <c r="D68" s="4">
        <f>VLOOKUP(A68,'Pre-Adjustment'!$A$19:$G$138,5,FALSE)</f>
        <v>236384.29</v>
      </c>
      <c r="E68" s="4">
        <f>ROUND(D68*uplift_rate,2)</f>
        <v>10637.29</v>
      </c>
      <c r="F68" s="4">
        <f>ROUND(D68*(1+uplift_rate),2)</f>
        <v>247021.58</v>
      </c>
      <c r="G68" t="str">
        <f>"UPDATE fin.accruals SET accrual_gbp = "&amp;TEXT(F68,"0.00")&amp;", adjustment_note = 'Q2 uplift for "&amp;C68&amp;"'"&amp;" WHERE trade_id = '"&amp;A68&amp;"';"</f>
        <v>UPDATE fin.accruals SET accrual_gbp = 247021.58, adjustment_note = 'Q2 uplift for O'Brien &amp; Partners' WHERE trade_id = 'ACC-00055';</v>
      </c>
    </row>
    <row r="69">
      <c r="A69" t="inlineStr">
        <is>
          <t>ACC-00056</t>
        </is>
      </c>
      <c r="B69" t="inlineStr">
        <is>
          <t>E-09</t>
        </is>
      </c>
      <c r="C69" t="str">
        <f>VLOOKUP(A69,'Pre-Adjustment'!$A$19:$G$138,3,FALSE)</f>
        <v>O'Brien &amp; Partners</v>
      </c>
      <c r="D69" s="4">
        <f>VLOOKUP(A69,'Pre-Adjustment'!$A$19:$G$138,5,FALSE)</f>
        <v>444628.11</v>
      </c>
      <c r="E69" s="4">
        <f>ROUND(D69*uplift_rate,2)</f>
        <v>20008.26</v>
      </c>
      <c r="F69" s="4">
        <f>ROUND(D69*(1+uplift_rate),2)</f>
        <v>464636.37</v>
      </c>
      <c r="G69" t="str">
        <f>"UPDATE fin.accruals SET accrual_gbp = "&amp;TEXT(F69,"0.00")&amp;", adjustment_note = 'Q2 uplift for "&amp;C69&amp;"'"&amp;" WHERE trade_id = '"&amp;A69&amp;"';"</f>
        <v>UPDATE fin.accruals SET accrual_gbp = 464636.37, adjustment_note = 'Q2 uplift for O'Brien &amp; Partners' WHERE trade_id = 'ACC-00056';</v>
      </c>
    </row>
    <row r="70">
      <c r="A70" t="inlineStr">
        <is>
          <t>ACC-00057</t>
        </is>
      </c>
      <c r="B70" t="inlineStr">
        <is>
          <t>E-09</t>
        </is>
      </c>
      <c r="C70" t="str">
        <f>VLOOKUP(A70,'Pre-Adjustment'!$A$19:$G$138,3,FALSE)</f>
        <v>O'Brien &amp; Partners</v>
      </c>
      <c r="D70" s="4">
        <f>VLOOKUP(A70,'Pre-Adjustment'!$A$19:$G$138,5,FALSE)</f>
        <v>254244.15</v>
      </c>
      <c r="E70" s="4">
        <f>ROUND(D70*uplift_rate,2)</f>
        <v>11440.99</v>
      </c>
      <c r="F70" s="4">
        <f>ROUND(D70*(1+uplift_rate),2)</f>
        <v>265685.14</v>
      </c>
      <c r="G70" t="str">
        <f>"UPDATE fin.accruals SET accrual_gbp = "&amp;TEXT(F70,"0.00")&amp;", adjustment_note = 'Q2 uplift for "&amp;C70&amp;"'"&amp;" WHERE trade_id = '"&amp;A70&amp;"';"</f>
        <v>UPDATE fin.accruals SET accrual_gbp = 265685.14, adjustment_note = 'Q2 uplift for O'Brien &amp; Partners' WHERE trade_id = 'ACC-00057';</v>
      </c>
    </row>
    <row r="71">
      <c r="A71" t="inlineStr">
        <is>
          <t>ACC-00058</t>
        </is>
      </c>
      <c r="B71" t="inlineStr">
        <is>
          <t>E-09</t>
        </is>
      </c>
      <c r="C71" t="str">
        <f>VLOOKUP(A71,'Pre-Adjustment'!$A$19:$G$138,3,FALSE)</f>
        <v>O'Brien &amp; Partners</v>
      </c>
      <c r="D71" s="4">
        <f>VLOOKUP(A71,'Pre-Adjustment'!$A$19:$G$138,5,FALSE)</f>
        <v>213187.06</v>
      </c>
      <c r="E71" s="4">
        <f>ROUND(D71*uplift_rate,2)</f>
        <v>9593.42</v>
      </c>
      <c r="F71" s="4">
        <f>ROUND(D71*(1+uplift_rate),2)</f>
        <v>222780.48</v>
      </c>
      <c r="G71" t="str">
        <f>"UPDATE fin.accruals SET accrual_gbp = "&amp;TEXT(F71,"0.00")&amp;", adjustment_note = 'Q2 uplift for "&amp;C71&amp;"'"&amp;" WHERE trade_id = '"&amp;A71&amp;"';"</f>
        <v>UPDATE fin.accruals SET accrual_gbp = 222780.48, adjustment_note = 'Q2 uplift for O'Brien &amp; Partners' WHERE trade_id = 'ACC-00058';</v>
      </c>
    </row>
    <row r="72">
      <c r="A72" t="inlineStr">
        <is>
          <t>ACC-00059</t>
        </is>
      </c>
      <c r="B72" t="inlineStr">
        <is>
          <t>E-09</t>
        </is>
      </c>
      <c r="C72" t="str">
        <f>VLOOKUP(A72,'Pre-Adjustment'!$A$19:$G$138,3,FALSE)</f>
        <v>O'Brien &amp; Partners</v>
      </c>
      <c r="D72" s="4">
        <f>VLOOKUP(A72,'Pre-Adjustment'!$A$19:$G$138,5,FALSE)</f>
        <v>110928.35</v>
      </c>
      <c r="E72" s="4">
        <f>ROUND(D72*uplift_rate,2)</f>
        <v>4991.78</v>
      </c>
      <c r="F72" s="4">
        <f>ROUND(D72*(1+uplift_rate),2)</f>
        <v>115920.13</v>
      </c>
      <c r="G72" t="str">
        <f>"UPDATE fin.accruals SET accrual_gbp = "&amp;TEXT(F72,"0.00")&amp;", adjustment_note = 'Q2 uplift for "&amp;C72&amp;"'"&amp;" WHERE trade_id = '"&amp;A72&amp;"';"</f>
        <v>UPDATE fin.accruals SET accrual_gbp = 115920.13, adjustment_note = 'Q2 uplift for O'Brien &amp; Partners' WHERE trade_id = 'ACC-00059';</v>
      </c>
    </row>
    <row r="73">
      <c r="A73" t="inlineStr">
        <is>
          <t>ACC-00060</t>
        </is>
      </c>
      <c r="B73" t="inlineStr">
        <is>
          <t>E-09</t>
        </is>
      </c>
      <c r="C73" t="str">
        <f>VLOOKUP(A73,'Pre-Adjustment'!$A$19:$G$138,3,FALSE)</f>
        <v>O'Brien &amp; Partners</v>
      </c>
      <c r="D73" s="4">
        <f>VLOOKUP(A73,'Pre-Adjustment'!$A$19:$G$138,5,FALSE)</f>
        <v>435060.69</v>
      </c>
      <c r="E73" s="4">
        <f>ROUND(D73*uplift_rate,2)</f>
        <v>19577.73</v>
      </c>
      <c r="F73" s="4">
        <f>ROUND(D73*(1+uplift_rate),2)</f>
        <v>454638.42</v>
      </c>
      <c r="G73" t="str">
        <f>"UPDATE fin.accruals SET accrual_gbp = "&amp;TEXT(F73,"0.00")&amp;", adjustment_note = 'Q2 uplift for "&amp;C73&amp;"'"&amp;" WHERE trade_id = '"&amp;A73&amp;"';"</f>
        <v>UPDATE fin.accruals SET accrual_gbp = 454638.42, adjustment_note = 'Q2 uplift for O'Brien &amp; Partners' WHERE trade_id = 'ACC-00060';</v>
      </c>
    </row>
    <row r="74">
      <c r="A74" t="inlineStr">
        <is>
          <t>ACC-00061</t>
        </is>
      </c>
      <c r="B74" t="inlineStr">
        <is>
          <t>E-12</t>
        </is>
      </c>
      <c r="C74" t="str">
        <f>VLOOKUP(A74,'Pre-Adjustment'!$A$19:$G$138,3,FALSE)</f>
        <v>Calderstone Assurance</v>
      </c>
      <c r="D74" s="4">
        <f>VLOOKUP(A74,'Pre-Adjustment'!$A$19:$G$138,5,FALSE)</f>
        <v>179699.46</v>
      </c>
      <c r="E74" s="4">
        <f>ROUND(D74*uplift_rate,2)</f>
        <v>8086.48</v>
      </c>
      <c r="F74" s="4">
        <f>ROUND(D74*(1+uplift_rate),2)</f>
        <v>187785.94</v>
      </c>
      <c r="G74" t="str">
        <f>"UPDATE fin.accruals SET accrual_gbp = "&amp;TEXT(F74,"0.00")&amp;", adjustment_note = 'Q2 uplift for "&amp;C74&amp;"'"&amp;" WHERE trade_id = '"&amp;A74&amp;"';"</f>
        <v>UPDATE fin.accruals SET accrual_gbp = 187785.94, adjustment_note = 'Q2 uplift for Calderstone Assurance' WHERE trade_id = 'ACC-00061';</v>
      </c>
    </row>
    <row r="75">
      <c r="A75" t="inlineStr">
        <is>
          <t>ACC-00062</t>
        </is>
      </c>
      <c r="B75" t="inlineStr">
        <is>
          <t>E-12</t>
        </is>
      </c>
      <c r="C75" t="str">
        <f>VLOOKUP(A75,'Pre-Adjustment'!$A$19:$G$138,3,FALSE)</f>
        <v>Calderstone Assurance</v>
      </c>
      <c r="D75" s="4">
        <f>VLOOKUP(A75,'Pre-Adjustment'!$A$19:$G$138,5,FALSE)</f>
        <v>463011.19</v>
      </c>
      <c r="E75" s="4">
        <f>ROUND(D75*uplift_rate,2)</f>
        <v>20835.5</v>
      </c>
      <c r="F75" s="4">
        <f>ROUND(D75*(1+uplift_rate),2)</f>
        <v>483846.69</v>
      </c>
      <c r="G75" t="str">
        <f>"UPDATE fin.accruals SET accrual_gbp = "&amp;TEXT(F75,"0.00")&amp;", adjustment_note = 'Q2 uplift for "&amp;C75&amp;"'"&amp;" WHERE trade_id = '"&amp;A75&amp;"';"</f>
        <v>UPDATE fin.accruals SET accrual_gbp = 483846.69, adjustment_note = 'Q2 uplift for Calderstone Assurance' WHERE trade_id = 'ACC-00062';</v>
      </c>
    </row>
    <row r="76">
      <c r="A76" t="inlineStr">
        <is>
          <t>ACC-00063</t>
        </is>
      </c>
      <c r="B76" t="inlineStr">
        <is>
          <t>E-12</t>
        </is>
      </c>
      <c r="C76" t="str">
        <f>VLOOKUP(A76,'Pre-Adjustment'!$A$19:$G$138,3,FALSE)</f>
        <v>Calderstone Assurance</v>
      </c>
      <c r="D76" s="4">
        <f>VLOOKUP(A76,'Pre-Adjustment'!$A$19:$G$138,5,FALSE)</f>
        <v>127337.18</v>
      </c>
      <c r="E76" s="4">
        <f>ROUND(D76*uplift_rate,2)</f>
        <v>5730.17</v>
      </c>
      <c r="F76" s="4">
        <f>ROUND(D76*(1+uplift_rate),2)</f>
        <v>133067.35</v>
      </c>
      <c r="G76" t="str">
        <f>"UPDATE fin.accruals SET accrual_gbp = "&amp;TEXT(F76,"0.00")&amp;", adjustment_note = 'Q2 uplift for "&amp;C76&amp;"'"&amp;" WHERE trade_id = '"&amp;A76&amp;"';"</f>
        <v>UPDATE fin.accruals SET accrual_gbp = 133067.35, adjustment_note = 'Q2 uplift for Calderstone Assurance' WHERE trade_id = 'ACC-00063';</v>
      </c>
    </row>
    <row r="77">
      <c r="A77" t="inlineStr">
        <is>
          <t>ACC-00065</t>
        </is>
      </c>
      <c r="B77" t="inlineStr">
        <is>
          <t>E-12</t>
        </is>
      </c>
      <c r="C77" t="str">
        <f>VLOOKUP(A77,'Pre-Adjustment'!$A$19:$G$138,3,FALSE)</f>
        <v>Calderstone Assurance</v>
      </c>
      <c r="D77" s="4">
        <f>VLOOKUP(A77,'Pre-Adjustment'!$A$19:$G$138,5,FALSE)</f>
        <v>31227.46</v>
      </c>
      <c r="E77" s="4">
        <f>ROUND(D77*uplift_rate,2)</f>
        <v>1405.24</v>
      </c>
      <c r="F77" s="4">
        <f>ROUND(D77*(1+uplift_rate),2)</f>
        <v>32632.7</v>
      </c>
      <c r="G77" t="str">
        <f>"UPDATE fin.accruals SET accrual_gbp = "&amp;TEXT(F77,"0.00")&amp;", adjustment_note = 'Q2 uplift for "&amp;C77&amp;"'"&amp;" WHERE trade_id = '"&amp;A77&amp;"';"</f>
        <v>UPDATE fin.accruals SET accrual_gbp = 32632.70, adjustment_note = 'Q2 uplift for Calderstone Assurance' WHERE trade_id = 'ACC-00065';</v>
      </c>
    </row>
    <row r="78">
      <c r="A78" t="inlineStr">
        <is>
          <t>ACC-00066</t>
        </is>
      </c>
      <c r="B78" t="inlineStr">
        <is>
          <t>E-12</t>
        </is>
      </c>
      <c r="C78" t="str">
        <f>VLOOKUP(A78,'Pre-Adjustment'!$A$19:$G$138,3,FALSE)</f>
        <v>Calderstone Assurance</v>
      </c>
      <c r="D78" s="4">
        <f>VLOOKUP(A78,'Pre-Adjustment'!$A$19:$G$138,5,FALSE)</f>
        <v>127159.57</v>
      </c>
      <c r="E78" s="4">
        <f>ROUND(D78*uplift_rate,2)</f>
        <v>5722.18</v>
      </c>
      <c r="F78" s="4">
        <f>ROUND(D78*(1+uplift_rate),2)</f>
        <v>132881.75</v>
      </c>
      <c r="G78" t="str">
        <f>"UPDATE fin.accruals SET accrual_gbp = "&amp;TEXT(F78,"0.00")&amp;", adjustment_note = 'Q2 uplift for "&amp;C78&amp;"'"&amp;" WHERE trade_id = '"&amp;A78&amp;"';"</f>
        <v>UPDATE fin.accruals SET accrual_gbp = 132881.75, adjustment_note = 'Q2 uplift for Calderstone Assurance' WHERE trade_id = 'ACC-00066';</v>
      </c>
    </row>
    <row r="79">
      <c r="A79" t="inlineStr">
        <is>
          <t>ACC-00067</t>
        </is>
      </c>
      <c r="B79" t="inlineStr">
        <is>
          <t>E-12</t>
        </is>
      </c>
      <c r="C79" t="str">
        <f>VLOOKUP(A79,'Pre-Adjustment'!$A$19:$G$138,3,FALSE)</f>
        <v>Calderstone Assurance</v>
      </c>
      <c r="D79" s="4">
        <f>VLOOKUP(A79,'Pre-Adjustment'!$A$19:$G$138,5,FALSE)</f>
        <v>417772.6</v>
      </c>
      <c r="E79" s="4">
        <f>ROUND(D79*uplift_rate,2)</f>
        <v>18799.77</v>
      </c>
      <c r="F79" s="4">
        <f>ROUND(D79*(1+uplift_rate),2)</f>
        <v>436572.37</v>
      </c>
      <c r="G79" t="str">
        <f>"UPDATE fin.accruals SET accrual_gbp = "&amp;TEXT(F79,"0.00")&amp;", adjustment_note = 'Q2 uplift for "&amp;C79&amp;"'"&amp;" WHERE trade_id = '"&amp;A79&amp;"';"</f>
        <v>UPDATE fin.accruals SET accrual_gbp = 436572.37, adjustment_note = 'Q2 uplift for Calderstone Assurance' WHERE trade_id = 'ACC-00067';</v>
      </c>
    </row>
    <row r="80">
      <c r="A80" t="inlineStr">
        <is>
          <t>ACC-00068</t>
        </is>
      </c>
      <c r="B80" t="inlineStr">
        <is>
          <t>E-12</t>
        </is>
      </c>
      <c r="C80" t="str">
        <f>VLOOKUP(A80,'Pre-Adjustment'!$A$19:$G$138,3,FALSE)</f>
        <v>Calderstone Assurance</v>
      </c>
      <c r="D80" s="4">
        <f>VLOOKUP(A80,'Pre-Adjustment'!$A$19:$G$138,5,FALSE)</f>
        <v>422714.17</v>
      </c>
      <c r="E80" s="4">
        <f>ROUND(D80*uplift_rate,2)</f>
        <v>19022.14</v>
      </c>
      <c r="F80" s="4">
        <f>ROUND(D80*(1+uplift_rate),2)</f>
        <v>441736.31</v>
      </c>
      <c r="G80" t="str">
        <f>"UPDATE fin.accruals SET accrual_gbp = "&amp;TEXT(F80,"0.00")&amp;", adjustment_note = 'Q2 uplift for "&amp;C80&amp;"'"&amp;" WHERE trade_id = '"&amp;A80&amp;"';"</f>
        <v>UPDATE fin.accruals SET accrual_gbp = 441736.31, adjustment_note = 'Q2 uplift for Calderstone Assurance' WHERE trade_id = 'ACC-00068';</v>
      </c>
    </row>
    <row r="81">
      <c r="A81" t="inlineStr">
        <is>
          <t>ACC-00069</t>
        </is>
      </c>
      <c r="B81" t="inlineStr">
        <is>
          <t>E-12</t>
        </is>
      </c>
      <c r="C81" t="str">
        <f>VLOOKUP(A81,'Pre-Adjustment'!$A$19:$G$138,3,FALSE)</f>
        <v>Calderstone Assurance</v>
      </c>
      <c r="D81" s="4">
        <f>VLOOKUP(A81,'Pre-Adjustment'!$A$19:$G$138,5,FALSE)</f>
        <v>54221</v>
      </c>
      <c r="E81" s="4">
        <f>ROUND(D81*uplift_rate,2)</f>
        <v>2439.95</v>
      </c>
      <c r="F81" s="4">
        <f>ROUND(D81*(1+uplift_rate),2)</f>
        <v>56660.95</v>
      </c>
      <c r="G81" t="str">
        <f>"UPDATE fin.accruals SET accrual_gbp = "&amp;TEXT(F81,"0.00")&amp;", adjustment_note = 'Q2 uplift for "&amp;C81&amp;"'"&amp;" WHERE trade_id = '"&amp;A81&amp;"';"</f>
        <v>UPDATE fin.accruals SET accrual_gbp = 56660.95, adjustment_note = 'Q2 uplift for Calderstone Assurance' WHERE trade_id = 'ACC-00069';</v>
      </c>
    </row>
    <row r="82">
      <c r="A82" t="inlineStr">
        <is>
          <t>ACC-00070</t>
        </is>
      </c>
      <c r="B82" t="inlineStr">
        <is>
          <t>E-12</t>
        </is>
      </c>
      <c r="C82" t="str">
        <f>VLOOKUP(A82,'Pre-Adjustment'!$A$19:$G$138,3,FALSE)</f>
        <v>Calderstone Assurance</v>
      </c>
      <c r="D82" s="4">
        <f>VLOOKUP(A82,'Pre-Adjustment'!$A$19:$G$138,5,FALSE)</f>
        <v>432273.87</v>
      </c>
      <c r="E82" s="4">
        <f>ROUND(D82*uplift_rate,2)</f>
        <v>19452.32</v>
      </c>
      <c r="F82" s="4">
        <f>ROUND(D82*(1+uplift_rate),2)</f>
        <v>451726.19</v>
      </c>
      <c r="G82" t="str">
        <f>"UPDATE fin.accruals SET accrual_gbp = "&amp;TEXT(F82,"0.00")&amp;", adjustment_note = 'Q2 uplift for "&amp;C82&amp;"'"&amp;" WHERE trade_id = '"&amp;A82&amp;"';"</f>
        <v>UPDATE fin.accruals SET accrual_gbp = 451726.19, adjustment_note = 'Q2 uplift for Calderstone Assurance' WHERE trade_id = 'ACC-00070';</v>
      </c>
    </row>
    <row r="83">
      <c r="A83" t="inlineStr">
        <is>
          <t>ACC-00071</t>
        </is>
      </c>
      <c r="B83" t="inlineStr">
        <is>
          <t>E-12</t>
        </is>
      </c>
      <c r="C83" t="str">
        <f>VLOOKUP(A83,'Pre-Adjustment'!$A$19:$G$138,3,FALSE)</f>
        <v>Calderstone Assurance</v>
      </c>
      <c r="D83" s="4">
        <f>VLOOKUP(A83,'Pre-Adjustment'!$A$19:$G$138,5,FALSE)</f>
        <v>193595</v>
      </c>
      <c r="E83" s="4">
        <f>ROUND(D83*uplift_rate,2)</f>
        <v>8711.78</v>
      </c>
      <c r="F83" s="4">
        <f>ROUND(D83*(1+uplift_rate),2)</f>
        <v>202306.78</v>
      </c>
      <c r="G83" t="str">
        <f>"UPDATE fin.accruals SET accrual_gbp = "&amp;TEXT(F83,"0.00")&amp;", adjustment_note = 'Q2 uplift for "&amp;C83&amp;"'"&amp;" WHERE trade_id = '"&amp;A83&amp;"';"</f>
        <v>UPDATE fin.accruals SET accrual_gbp = 202306.78, adjustment_note = 'Q2 uplift for Calderstone Assurance' WHERE trade_id = 'ACC-00071';</v>
      </c>
    </row>
    <row r="84">
      <c r="A84" t="inlineStr">
        <is>
          <t>ACC-00072</t>
        </is>
      </c>
      <c r="B84" t="inlineStr">
        <is>
          <t>E-12</t>
        </is>
      </c>
      <c r="C84" t="str">
        <f>VLOOKUP(A84,'Pre-Adjustment'!$A$19:$G$138,3,FALSE)</f>
        <v>Calderstone Assurance</v>
      </c>
      <c r="D84" s="4">
        <f>VLOOKUP(A84,'Pre-Adjustment'!$A$19:$G$138,5,FALSE)</f>
        <v>27341</v>
      </c>
      <c r="E84" s="4">
        <f>ROUND(D84*uplift_rate,2)</f>
        <v>1230.35</v>
      </c>
      <c r="F84" s="4">
        <f>ROUND(D84*(1+uplift_rate),2)</f>
        <v>28571.35</v>
      </c>
      <c r="G84" t="str">
        <f>"UPDATE fin.accruals SET accrual_gbp = "&amp;TEXT(F84,"0.00")&amp;", adjustment_note = 'Q2 uplift for "&amp;C84&amp;"'"&amp;" WHERE trade_id = '"&amp;A84&amp;"';"</f>
        <v>UPDATE fin.accruals SET accrual_gbp = 28571.35, adjustment_note = 'Q2 uplift for Calderstone Assurance' WHERE trade_id = 'ACC-00072';</v>
      </c>
    </row>
    <row r="85">
      <c r="A85" t="inlineStr">
        <is>
          <t>ACC-00073</t>
        </is>
      </c>
      <c r="B85" t="inlineStr">
        <is>
          <t>E-12</t>
        </is>
      </c>
      <c r="C85" t="str">
        <f>VLOOKUP(A85,'Pre-Adjustment'!$A$19:$G$138,3,FALSE)</f>
        <v>Calderstone Assurance</v>
      </c>
      <c r="D85" s="4">
        <f>VLOOKUP(A85,'Pre-Adjustment'!$A$19:$G$138,5,FALSE)</f>
        <v>79962.71</v>
      </c>
      <c r="E85" s="4">
        <f>ROUND(D85*uplift_rate,2)</f>
        <v>3598.32</v>
      </c>
      <c r="F85" s="4">
        <f>ROUND(D85*(1+uplift_rate),2)</f>
        <v>83561.03</v>
      </c>
      <c r="G85" t="str">
        <f>"UPDATE fin.accruals SET accrual_gbp = "&amp;TEXT(F85,"0.00")&amp;", adjustment_note = 'Q2 uplift for "&amp;C85&amp;"'"&amp;" WHERE trade_id = '"&amp;A85&amp;"';"</f>
        <v>UPDATE fin.accruals SET accrual_gbp = 83561.03, adjustment_note = 'Q2 uplift for Calderstone Assurance' WHERE trade_id = 'ACC-00073';</v>
      </c>
    </row>
    <row r="86">
      <c r="A86" t="inlineStr">
        <is>
          <t>ACC-00074</t>
        </is>
      </c>
      <c r="B86" t="inlineStr">
        <is>
          <t>E-12</t>
        </is>
      </c>
      <c r="C86" t="str">
        <f>VLOOKUP(A86,'Pre-Adjustment'!$A$19:$G$138,3,FALSE)</f>
        <v>Calderstone Assurance</v>
      </c>
      <c r="D86" s="4">
        <f>VLOOKUP(A86,'Pre-Adjustment'!$A$19:$G$138,5,FALSE)</f>
        <v>339662.12</v>
      </c>
      <c r="E86" s="4">
        <f>ROUND(D86*uplift_rate,2)</f>
        <v>15284.8</v>
      </c>
      <c r="F86" s="4">
        <f>ROUND(D86*(1+uplift_rate),2)</f>
        <v>354946.92</v>
      </c>
      <c r="G86" t="str">
        <f>"UPDATE fin.accruals SET accrual_gbp = "&amp;TEXT(F86,"0.00")&amp;", adjustment_note = 'Q2 uplift for "&amp;C86&amp;"'"&amp;" WHERE trade_id = '"&amp;A86&amp;"';"</f>
        <v>UPDATE fin.accruals SET accrual_gbp = 354946.92, adjustment_note = 'Q2 uplift for Calderstone Assurance' WHERE trade_id = 'ACC-00074';</v>
      </c>
    </row>
    <row r="87">
      <c r="A87" t="inlineStr">
        <is>
          <t>ACC-00075</t>
        </is>
      </c>
      <c r="B87" t="inlineStr">
        <is>
          <t>E-12</t>
        </is>
      </c>
      <c r="C87" t="str">
        <f>VLOOKUP(A87,'Pre-Adjustment'!$A$19:$G$138,3,FALSE)</f>
        <v>Calderstone Assurance</v>
      </c>
      <c r="D87" s="4">
        <f>VLOOKUP(A87,'Pre-Adjustment'!$A$19:$G$138,5,FALSE)</f>
        <v>430209.75</v>
      </c>
      <c r="E87" s="4">
        <f>ROUND(D87*uplift_rate,2)</f>
        <v>19359.44</v>
      </c>
      <c r="F87" s="4">
        <f>ROUND(D87*(1+uplift_rate),2)</f>
        <v>449569.19</v>
      </c>
      <c r="G87" t="str">
        <f>"UPDATE fin.accruals SET accrual_gbp = "&amp;TEXT(F87,"0.00")&amp;", adjustment_note = 'Q2 uplift for "&amp;C87&amp;"'"&amp;" WHERE trade_id = '"&amp;A87&amp;"';"</f>
        <v>UPDATE fin.accruals SET accrual_gbp = 449569.19, adjustment_note = 'Q2 uplift for Calderstone Assurance' WHERE trade_id = 'ACC-00075';</v>
      </c>
    </row>
    <row r="88">
      <c r="A88" t="inlineStr">
        <is>
          <t>ACC-00076</t>
        </is>
      </c>
      <c r="B88" t="inlineStr">
        <is>
          <t>E-12</t>
        </is>
      </c>
      <c r="C88" t="str">
        <f>VLOOKUP(A88,'Pre-Adjustment'!$A$19:$G$138,3,FALSE)</f>
        <v>Calderstone Assurance</v>
      </c>
      <c r="D88" s="4">
        <f>VLOOKUP(A88,'Pre-Adjustment'!$A$19:$G$138,5,FALSE)</f>
        <v>101193.08</v>
      </c>
      <c r="E88" s="4">
        <f>ROUND(D88*uplift_rate,2)</f>
        <v>4553.69</v>
      </c>
      <c r="F88" s="4">
        <f>ROUND(D88*(1+uplift_rate),2)</f>
        <v>105746.77</v>
      </c>
      <c r="G88" t="str">
        <f>"UPDATE fin.accruals SET accrual_gbp = "&amp;TEXT(F88,"0.00")&amp;", adjustment_note = 'Q2 uplift for "&amp;C88&amp;"'"&amp;" WHERE trade_id = '"&amp;A88&amp;"';"</f>
        <v>UPDATE fin.accruals SET accrual_gbp = 105746.77, adjustment_note = 'Q2 uplift for Calderstone Assurance' WHERE trade_id = 'ACC-00076';</v>
      </c>
    </row>
    <row r="89">
      <c r="A89" t="inlineStr">
        <is>
          <t>ACC-00077</t>
        </is>
      </c>
      <c r="B89" t="inlineStr">
        <is>
          <t>E-12</t>
        </is>
      </c>
      <c r="C89" t="str">
        <f>VLOOKUP(A89,'Pre-Adjustment'!$A$19:$G$138,3,FALSE)</f>
        <v>Calderstone Assurance</v>
      </c>
      <c r="D89" s="4">
        <f>VLOOKUP(A89,'Pre-Adjustment'!$A$19:$G$138,5,FALSE)</f>
        <v>10155</v>
      </c>
      <c r="E89" s="4">
        <f>ROUND(D89*uplift_rate,2)</f>
        <v>456.98</v>
      </c>
      <c r="F89" s="4">
        <f>ROUND(D89*(1+uplift_rate),2)</f>
        <v>10611.98</v>
      </c>
      <c r="G89" t="str">
        <f>"UPDATE fin.accruals SET accrual_gbp = "&amp;TEXT(F89,"0.00")&amp;", adjustment_note = 'Q2 uplift for "&amp;C89&amp;"'"&amp;" WHERE trade_id = '"&amp;A89&amp;"';"</f>
        <v>UPDATE fin.accruals SET accrual_gbp = 10611.98, adjustment_note = 'Q2 uplift for Calderstone Assurance' WHERE trade_id = 'ACC-00077';</v>
      </c>
    </row>
    <row r="90">
      <c r="A90" t="inlineStr">
        <is>
          <t>ACC-00078</t>
        </is>
      </c>
      <c r="B90" t="inlineStr">
        <is>
          <t>E-12</t>
        </is>
      </c>
      <c r="C90" t="str">
        <f>VLOOKUP(A90,'Pre-Adjustment'!$A$19:$G$138,3,FALSE)</f>
        <v>Calderstone Assurance</v>
      </c>
      <c r="D90" s="4">
        <f>VLOOKUP(A90,'Pre-Adjustment'!$A$19:$G$138,5,FALSE)</f>
        <v>386979.2</v>
      </c>
      <c r="E90" s="4">
        <f>ROUND(D90*uplift_rate,2)</f>
        <v>17414.06</v>
      </c>
      <c r="F90" s="4">
        <f>ROUND(D90*(1+uplift_rate),2)</f>
        <v>404393.26</v>
      </c>
      <c r="G90" t="str">
        <f>"UPDATE fin.accruals SET accrual_gbp = "&amp;TEXT(F90,"0.00")&amp;", adjustment_note = 'Q2 uplift for "&amp;C90&amp;"'"&amp;" WHERE trade_id = '"&amp;A90&amp;"';"</f>
        <v>UPDATE fin.accruals SET accrual_gbp = 404393.26, adjustment_note = 'Q2 uplift for Calderstone Assurance' WHERE trade_id = 'ACC-00078';</v>
      </c>
    </row>
    <row r="91">
      <c r="A91" t="inlineStr">
        <is>
          <t>ACC-00079</t>
        </is>
      </c>
      <c r="B91" t="inlineStr">
        <is>
          <t>E-12</t>
        </is>
      </c>
      <c r="C91" t="str">
        <f>VLOOKUP(A91,'Pre-Adjustment'!$A$19:$G$138,3,FALSE)</f>
        <v>Calderstone Assurance</v>
      </c>
      <c r="D91" s="4">
        <f>VLOOKUP(A91,'Pre-Adjustment'!$A$19:$G$138,5,FALSE)</f>
        <v>219549.6</v>
      </c>
      <c r="E91" s="4">
        <f>ROUND(D91*uplift_rate,2)</f>
        <v>9879.73</v>
      </c>
      <c r="F91" s="4">
        <f>ROUND(D91*(1+uplift_rate),2)</f>
        <v>229429.33</v>
      </c>
      <c r="G91" t="str">
        <f>"UPDATE fin.accruals SET accrual_gbp = "&amp;TEXT(F91,"0.00")&amp;", adjustment_note = 'Q2 uplift for "&amp;C91&amp;"'"&amp;" WHERE trade_id = '"&amp;A91&amp;"';"</f>
        <v>UPDATE fin.accruals SET accrual_gbp = 229429.33, adjustment_note = 'Q2 uplift for Calderstone Assurance' WHERE trade_id = 'ACC-00079';</v>
      </c>
    </row>
    <row r="92">
      <c r="A92" t="inlineStr">
        <is>
          <t>ACC-00080</t>
        </is>
      </c>
      <c r="B92" t="inlineStr">
        <is>
          <t>E-12</t>
        </is>
      </c>
      <c r="C92" t="str">
        <f>VLOOKUP(A92,'Pre-Adjustment'!$A$19:$G$138,3,FALSE)</f>
        <v>Calderstone Assurance</v>
      </c>
      <c r="D92" s="4">
        <f>VLOOKUP(A92,'Pre-Adjustment'!$A$19:$G$138,5,FALSE)</f>
        <v>21288.23</v>
      </c>
      <c r="E92" s="4">
        <f>ROUND(D92*uplift_rate,2)</f>
        <v>957.97</v>
      </c>
      <c r="F92" s="4">
        <f>ROUND(D92*(1+uplift_rate),2)</f>
        <v>22246.2</v>
      </c>
      <c r="G92" t="str">
        <f>"UPDATE fin.accruals SET accrual_gbp = "&amp;TEXT(F92,"0.00")&amp;", adjustment_note = 'Q2 uplift for "&amp;C92&amp;"'"&amp;" WHERE trade_id = '"&amp;A92&amp;"';"</f>
        <v>UPDATE fin.accruals SET accrual_gbp = 22246.20, adjustment_note = 'Q2 uplift for Calderstone Assurance' WHERE trade_id = 'ACC-00080';</v>
      </c>
    </row>
    <row r="94">
      <c r="A94" s="2" t="inlineStr">
        <is>
          <t>Total</t>
        </is>
      </c>
      <c r="D94" s="4">
        <f>SUM(D17:D92)</f>
        <v>19649058.01</v>
      </c>
      <c r="E94" s="4">
        <f>SUM(E17:E92)</f>
        <v>884207.62</v>
      </c>
      <c r="F94" s="4">
        <f>SUM(F17:F92)</f>
        <v>20533265.63</v>
      </c>
    </row>
    <row r="95">
      <c r="A95" t="inlineStr">
        <is>
          <t>Rows</t>
        </is>
      </c>
      <c r="D95">
        <f>COUNT(D17:D92)</f>
        <v>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8"/>
  <sheetViews>
    <sheetView workbookViewId="0">
      <selection activeCell="A1" sqref="A1"/>
    </sheetView>
  </sheetViews>
  <sheetFormatPr baseColWidth="8" defaultRowHeight="15"/>
  <cols>
    <col width="14" customWidth="1" min="1" max="1"/>
    <col width="24" customWidth="1" min="3" max="3"/>
    <col width="15" customWidth="1" min="5" max="5"/>
    <col width="12" customWidth="1" min="6" max="6"/>
  </cols>
  <sheetData>
    <row r="1">
      <c r="A1" s="1" t="inlineStr">
        <is>
          <t>Post-adjustment extract (re-run)</t>
        </is>
      </c>
    </row>
    <row r="2">
      <c r="A2" t="inlineStr">
        <is>
          <t>Source: FinanceWarehouse (ODBC), connection 'AccrualExtract'</t>
        </is>
      </c>
    </row>
    <row r="3">
      <c r="A3" s="2" t="inlineStr">
        <is>
          <t>Query - run this to reproduce:</t>
        </is>
      </c>
    </row>
    <row r="4">
      <c r="A4" s="6" t="inlineStr">
        <is>
          <t>SELECT</t>
        </is>
      </c>
    </row>
    <row r="5">
      <c r="A5" s="6" t="inlineStr">
        <is>
          <t xml:space="preserve">    a.trade_id,</t>
        </is>
      </c>
    </row>
    <row r="6">
      <c r="A6" s="6" t="inlineStr">
        <is>
          <t xml:space="preserve">    a.entity_id,</t>
        </is>
      </c>
    </row>
    <row r="7">
      <c r="A7" s="6" t="inlineStr">
        <is>
          <t xml:space="preserve">    e.entity_name,</t>
        </is>
      </c>
    </row>
    <row r="8">
      <c r="A8" s="6" t="inlineStr">
        <is>
          <t xml:space="preserve">    a.cost_centre,</t>
        </is>
      </c>
    </row>
    <row r="9">
      <c r="A9" s="6" t="inlineStr">
        <is>
          <t xml:space="preserve">    a.accrual_gbp,</t>
        </is>
      </c>
    </row>
    <row r="10">
      <c r="A10" s="6" t="inlineStr">
        <is>
          <t xml:space="preserve">    a.period_end,</t>
        </is>
      </c>
    </row>
    <row r="11">
      <c r="A11" s="6" t="inlineStr">
        <is>
          <t xml:space="preserve">    a.status</t>
        </is>
      </c>
    </row>
    <row r="12">
      <c r="A12" s="6" t="inlineStr">
        <is>
          <t>FROM fin.accruals AS a</t>
        </is>
      </c>
    </row>
    <row r="13">
      <c r="A13" s="6" t="inlineStr">
        <is>
          <t>INNER JOIN fin.entities AS e</t>
        </is>
      </c>
    </row>
    <row r="14">
      <c r="A14" s="6" t="inlineStr">
        <is>
          <t xml:space="preserve">    ON e.entity_id = a.entity_id</t>
        </is>
      </c>
    </row>
    <row r="15">
      <c r="A15" s="6" t="inlineStr">
        <is>
          <t>WHERE a.period_end = '2026-06-30'</t>
        </is>
      </c>
    </row>
    <row r="16">
      <c r="A16" s="6" t="inlineStr">
        <is>
          <t xml:space="preserve">  AND a.ledger = 'STATUTORY'</t>
        </is>
      </c>
    </row>
    <row r="17">
      <c r="A17" s="6" t="inlineStr">
        <is>
          <t>ORDER BY a.entity_id, a.trade_id</t>
        </is>
      </c>
    </row>
    <row r="18">
      <c r="A18" s="7" t="inlineStr">
        <is>
          <t>trade_id</t>
        </is>
      </c>
      <c r="B18" s="7" t="inlineStr">
        <is>
          <t>entity_id</t>
        </is>
      </c>
      <c r="C18" s="7" t="inlineStr">
        <is>
          <t>entity_name</t>
        </is>
      </c>
      <c r="D18" s="7" t="inlineStr">
        <is>
          <t>cost_centre</t>
        </is>
      </c>
      <c r="E18" s="7" t="inlineStr">
        <is>
          <t>accrual_gbp</t>
        </is>
      </c>
      <c r="F18" s="7" t="inlineStr">
        <is>
          <t>period_end</t>
        </is>
      </c>
      <c r="G18" s="7" t="inlineStr">
        <is>
          <t>status</t>
        </is>
      </c>
    </row>
    <row r="19">
      <c r="A19" t="inlineStr">
        <is>
          <t>ACC-00001</t>
        </is>
      </c>
      <c r="B19" t="inlineStr">
        <is>
          <t>E-04</t>
        </is>
      </c>
      <c r="C19" t="inlineStr">
        <is>
          <t>Northgate Holdings</t>
        </is>
      </c>
      <c r="D19" t="inlineStr">
        <is>
          <t>CC-3050</t>
        </is>
      </c>
      <c r="E19" s="4" t="n"/>
      <c r="F19" s="8" t="n">
        <v>46203</v>
      </c>
      <c r="G19" t="inlineStr">
        <is>
          <t>POSTED</t>
        </is>
      </c>
    </row>
    <row r="20">
      <c r="A20" t="inlineStr">
        <is>
          <t>ACC-00002</t>
        </is>
      </c>
      <c r="B20" t="inlineStr">
        <is>
          <t>E-04</t>
        </is>
      </c>
      <c r="C20" t="inlineStr">
        <is>
          <t>Northgate Holdings</t>
        </is>
      </c>
      <c r="D20" t="inlineStr">
        <is>
          <t>CC-3900</t>
        </is>
      </c>
      <c r="E20" s="4" t="n">
        <v>215143.45</v>
      </c>
      <c r="F20" s="8" t="n">
        <v>46203</v>
      </c>
      <c r="G20" t="inlineStr">
        <is>
          <t>POSTED</t>
        </is>
      </c>
    </row>
    <row r="21">
      <c r="A21" t="inlineStr">
        <is>
          <t>ACC-00003</t>
        </is>
      </c>
      <c r="B21" t="inlineStr">
        <is>
          <t>E-04</t>
        </is>
      </c>
      <c r="C21" t="inlineStr">
        <is>
          <t>Northgate Holdings</t>
        </is>
      </c>
      <c r="D21" t="inlineStr">
        <is>
          <t>CC-3900</t>
        </is>
      </c>
      <c r="E21" s="4" t="n">
        <v>289677.49</v>
      </c>
      <c r="F21" s="8" t="n">
        <v>46203</v>
      </c>
      <c r="G21" t="inlineStr">
        <is>
          <t>POSTED</t>
        </is>
      </c>
    </row>
    <row r="22">
      <c r="A22" t="inlineStr">
        <is>
          <t>ACC-00004</t>
        </is>
      </c>
      <c r="B22" t="inlineStr">
        <is>
          <t>E-04</t>
        </is>
      </c>
      <c r="C22" t="inlineStr">
        <is>
          <t>Northgate Holdings</t>
        </is>
      </c>
      <c r="D22" t="inlineStr">
        <is>
          <t>CC-2400</t>
        </is>
      </c>
      <c r="E22" s="4" t="n">
        <v>11122.9</v>
      </c>
      <c r="F22" s="8" t="n">
        <v>46203</v>
      </c>
      <c r="G22" t="inlineStr">
        <is>
          <t>CANCELLED</t>
        </is>
      </c>
    </row>
    <row r="23">
      <c r="A23" t="inlineStr">
        <is>
          <t>ACC-00005</t>
        </is>
      </c>
      <c r="B23" t="inlineStr">
        <is>
          <t>E-04</t>
        </is>
      </c>
      <c r="C23" t="inlineStr">
        <is>
          <t>Northgate Holdings</t>
        </is>
      </c>
      <c r="D23" t="inlineStr">
        <is>
          <t>CC-3900</t>
        </is>
      </c>
      <c r="E23" s="4" t="n">
        <v>384242.65</v>
      </c>
      <c r="F23" s="8" t="n">
        <v>46203</v>
      </c>
      <c r="G23" t="inlineStr">
        <is>
          <t>POSTED</t>
        </is>
      </c>
    </row>
    <row r="24">
      <c r="A24" t="inlineStr">
        <is>
          <t>ACC-00006</t>
        </is>
      </c>
      <c r="B24" t="inlineStr">
        <is>
          <t>E-04</t>
        </is>
      </c>
      <c r="C24" t="inlineStr">
        <is>
          <t>Northgate Holdings</t>
        </is>
      </c>
      <c r="D24" t="inlineStr">
        <is>
          <t>CC-3050</t>
        </is>
      </c>
      <c r="E24" s="4" t="n">
        <v>42023.78</v>
      </c>
      <c r="F24" s="8" t="n">
        <v>46203</v>
      </c>
      <c r="G24" t="inlineStr">
        <is>
          <t>POSTED</t>
        </is>
      </c>
    </row>
    <row r="25">
      <c r="A25" t="inlineStr">
        <is>
          <t>ACC-00007</t>
        </is>
      </c>
      <c r="B25" t="inlineStr">
        <is>
          <t>E-04</t>
        </is>
      </c>
      <c r="C25" t="inlineStr">
        <is>
          <t>Northgate Holdings</t>
        </is>
      </c>
      <c r="D25" t="inlineStr">
        <is>
          <t>CC-1100</t>
        </is>
      </c>
      <c r="E25" s="4" t="n">
        <v>490036.58</v>
      </c>
      <c r="F25" s="8" t="n">
        <v>46203</v>
      </c>
      <c r="G25" t="inlineStr">
        <is>
          <t>POSTED</t>
        </is>
      </c>
    </row>
    <row r="26">
      <c r="A26" t="inlineStr">
        <is>
          <t>ACC-00008</t>
        </is>
      </c>
      <c r="B26" t="inlineStr">
        <is>
          <t>E-04</t>
        </is>
      </c>
      <c r="C26" t="inlineStr">
        <is>
          <t>Northgate Holdings</t>
        </is>
      </c>
      <c r="D26" t="inlineStr">
        <is>
          <t>CC-1200</t>
        </is>
      </c>
      <c r="E26" s="4" t="n">
        <v>370436.89</v>
      </c>
      <c r="F26" s="8" t="n">
        <v>46203</v>
      </c>
      <c r="G26" t="inlineStr">
        <is>
          <t>POSTED</t>
        </is>
      </c>
    </row>
    <row r="27">
      <c r="A27" t="inlineStr">
        <is>
          <t>ACC-00009</t>
        </is>
      </c>
      <c r="B27" t="inlineStr">
        <is>
          <t>E-04</t>
        </is>
      </c>
      <c r="C27" t="inlineStr">
        <is>
          <t>Northgate Holdings</t>
        </is>
      </c>
      <c r="D27" t="inlineStr">
        <is>
          <t>CC-1200</t>
        </is>
      </c>
      <c r="E27" s="4" t="n">
        <v>266819.57</v>
      </c>
      <c r="F27" s="8" t="n">
        <v>46203</v>
      </c>
      <c r="G27" t="inlineStr">
        <is>
          <t>POSTED</t>
        </is>
      </c>
    </row>
    <row r="28">
      <c r="A28" t="inlineStr">
        <is>
          <t>ACC-00010</t>
        </is>
      </c>
      <c r="B28" t="inlineStr">
        <is>
          <t>E-04</t>
        </is>
      </c>
      <c r="C28" t="inlineStr">
        <is>
          <t>Northgate Holdings</t>
        </is>
      </c>
      <c r="D28" t="inlineStr">
        <is>
          <t>CC-3050</t>
        </is>
      </c>
      <c r="E28" s="4" t="n">
        <v>106088.18</v>
      </c>
      <c r="F28" s="8" t="n">
        <v>46203</v>
      </c>
      <c r="G28" t="inlineStr">
        <is>
          <t>POSTED</t>
        </is>
      </c>
    </row>
    <row r="29">
      <c r="A29" t="inlineStr">
        <is>
          <t>ACC-00011</t>
        </is>
      </c>
      <c r="B29" t="inlineStr">
        <is>
          <t>E-04</t>
        </is>
      </c>
      <c r="C29" t="inlineStr">
        <is>
          <t>Northgate Holdings</t>
        </is>
      </c>
      <c r="D29" t="inlineStr">
        <is>
          <t>CC-1200</t>
        </is>
      </c>
      <c r="E29" s="4" t="n">
        <v>251963.16</v>
      </c>
      <c r="F29" s="8" t="n">
        <v>46203</v>
      </c>
      <c r="G29" t="inlineStr">
        <is>
          <t>POSTED</t>
        </is>
      </c>
    </row>
    <row r="30">
      <c r="A30" t="inlineStr">
        <is>
          <t>ACC-00012</t>
        </is>
      </c>
      <c r="B30" t="inlineStr">
        <is>
          <t>E-04</t>
        </is>
      </c>
      <c r="C30" t="inlineStr">
        <is>
          <t>Northgate Holdings</t>
        </is>
      </c>
      <c r="D30" t="inlineStr">
        <is>
          <t>CC-1100</t>
        </is>
      </c>
      <c r="E30" s="4" t="n">
        <v>408763.77</v>
      </c>
      <c r="F30" s="8" t="n">
        <v>46203</v>
      </c>
      <c r="G30" t="inlineStr">
        <is>
          <t>POSTED</t>
        </is>
      </c>
    </row>
    <row r="31">
      <c r="A31" t="inlineStr">
        <is>
          <t>ACC-00013</t>
        </is>
      </c>
      <c r="B31" t="inlineStr">
        <is>
          <t>E-04</t>
        </is>
      </c>
      <c r="C31" t="inlineStr">
        <is>
          <t>Northgate Holdings</t>
        </is>
      </c>
      <c r="D31" t="inlineStr">
        <is>
          <t>CC-3900</t>
        </is>
      </c>
      <c r="E31" s="4" t="n">
        <v>450532.68</v>
      </c>
      <c r="F31" s="8" t="n">
        <v>46203</v>
      </c>
      <c r="G31" t="inlineStr">
        <is>
          <t>POSTED</t>
        </is>
      </c>
    </row>
    <row r="32">
      <c r="A32" t="inlineStr">
        <is>
          <t>ACC-00014</t>
        </is>
      </c>
      <c r="B32" t="inlineStr">
        <is>
          <t>E-04</t>
        </is>
      </c>
      <c r="C32" t="inlineStr">
        <is>
          <t>Northgate Holdings</t>
        </is>
      </c>
      <c r="D32" t="inlineStr">
        <is>
          <t>CC-1100</t>
        </is>
      </c>
      <c r="E32" s="4" t="n">
        <v>312156.97</v>
      </c>
      <c r="F32" s="8" t="n">
        <v>46203</v>
      </c>
      <c r="G32" t="inlineStr">
        <is>
          <t>POSTED</t>
        </is>
      </c>
    </row>
    <row r="33">
      <c r="A33" t="inlineStr">
        <is>
          <t>ACC-00015</t>
        </is>
      </c>
      <c r="B33" t="inlineStr">
        <is>
          <t>E-04</t>
        </is>
      </c>
      <c r="C33" t="inlineStr">
        <is>
          <t>Northgate Holdings</t>
        </is>
      </c>
      <c r="D33" t="inlineStr">
        <is>
          <t>CC-1100</t>
        </is>
      </c>
      <c r="E33" s="4" t="n">
        <v>295051.43</v>
      </c>
      <c r="F33" s="8" t="n">
        <v>46203</v>
      </c>
      <c r="G33" t="inlineStr">
        <is>
          <t>POSTED</t>
        </is>
      </c>
    </row>
    <row r="34">
      <c r="A34" t="inlineStr">
        <is>
          <t>ACC-00016</t>
        </is>
      </c>
      <c r="B34" t="inlineStr">
        <is>
          <t>E-04</t>
        </is>
      </c>
      <c r="C34" t="inlineStr">
        <is>
          <t>Northgate Holdings</t>
        </is>
      </c>
      <c r="D34" t="inlineStr">
        <is>
          <t>CC-1100</t>
        </is>
      </c>
      <c r="E34" s="4" t="n">
        <v>388391.04</v>
      </c>
      <c r="F34" s="8" t="n">
        <v>46203</v>
      </c>
      <c r="G34" t="inlineStr">
        <is>
          <t>POSTED</t>
        </is>
      </c>
    </row>
    <row r="35">
      <c r="A35" t="inlineStr">
        <is>
          <t>ACC-00017</t>
        </is>
      </c>
      <c r="B35" t="inlineStr">
        <is>
          <t>E-04</t>
        </is>
      </c>
      <c r="C35" t="inlineStr">
        <is>
          <t>Northgate Holdings</t>
        </is>
      </c>
      <c r="D35" t="inlineStr">
        <is>
          <t>CC-3900</t>
        </is>
      </c>
      <c r="E35" s="4" t="n">
        <v>340118.99</v>
      </c>
      <c r="F35" s="8" t="n">
        <v>46203</v>
      </c>
      <c r="G35" t="inlineStr">
        <is>
          <t>POSTED</t>
        </is>
      </c>
    </row>
    <row r="36">
      <c r="A36" t="inlineStr">
        <is>
          <t>ACC-00018</t>
        </is>
      </c>
      <c r="B36" t="inlineStr">
        <is>
          <t>E-04</t>
        </is>
      </c>
      <c r="C36" t="inlineStr">
        <is>
          <t>Northgate Holdings</t>
        </is>
      </c>
      <c r="D36" t="inlineStr">
        <is>
          <t>CC-3050</t>
        </is>
      </c>
      <c r="E36" s="4" t="n">
        <v>334750.83</v>
      </c>
      <c r="F36" s="8" t="n">
        <v>46203</v>
      </c>
      <c r="G36" t="inlineStr">
        <is>
          <t>POSTED</t>
        </is>
      </c>
    </row>
    <row r="37">
      <c r="A37" t="inlineStr">
        <is>
          <t>ACC-00019</t>
        </is>
      </c>
      <c r="B37" t="inlineStr">
        <is>
          <t>E-04</t>
        </is>
      </c>
      <c r="C37" t="inlineStr">
        <is>
          <t>Northgate Holdings</t>
        </is>
      </c>
      <c r="D37" t="inlineStr">
        <is>
          <t>CC-3900</t>
        </is>
      </c>
      <c r="E37" s="4" t="n">
        <v>106438.92</v>
      </c>
      <c r="F37" s="8" t="n">
        <v>46203</v>
      </c>
      <c r="G37" t="inlineStr">
        <is>
          <t>POSTED</t>
        </is>
      </c>
    </row>
    <row r="38">
      <c r="A38" t="inlineStr">
        <is>
          <t>ACC-00020</t>
        </is>
      </c>
      <c r="B38" t="inlineStr">
        <is>
          <t>E-04</t>
        </is>
      </c>
      <c r="C38" t="inlineStr">
        <is>
          <t>Northgate Holdings</t>
        </is>
      </c>
      <c r="D38" t="inlineStr">
        <is>
          <t>CC-2400</t>
        </is>
      </c>
      <c r="E38" s="4" t="n">
        <v>321075.83</v>
      </c>
      <c r="F38" s="8" t="n">
        <v>46203</v>
      </c>
      <c r="G38" t="inlineStr">
        <is>
          <t>POSTED</t>
        </is>
      </c>
    </row>
    <row r="39">
      <c r="A39" t="inlineStr">
        <is>
          <t>ACC-00021</t>
        </is>
      </c>
      <c r="B39" t="inlineStr">
        <is>
          <t>E-07</t>
        </is>
      </c>
      <c r="C39" t="inlineStr">
        <is>
          <t>Brightwater Marine</t>
        </is>
      </c>
      <c r="D39" t="inlineStr">
        <is>
          <t>CC-3050</t>
        </is>
      </c>
      <c r="E39" s="4" t="n">
        <v>209454.68</v>
      </c>
      <c r="F39" s="8" t="n">
        <v>46203</v>
      </c>
      <c r="G39" t="inlineStr">
        <is>
          <t>POSTED</t>
        </is>
      </c>
    </row>
    <row r="40">
      <c r="A40" t="inlineStr">
        <is>
          <t>ACC-00022</t>
        </is>
      </c>
      <c r="B40" t="inlineStr">
        <is>
          <t>E-07</t>
        </is>
      </c>
      <c r="C40" t="inlineStr">
        <is>
          <t>Brightwater Marine</t>
        </is>
      </c>
      <c r="D40" t="inlineStr">
        <is>
          <t>CC-3900</t>
        </is>
      </c>
      <c r="E40" s="4" t="n">
        <v>398786</v>
      </c>
      <c r="F40" s="8" t="n">
        <v>46203</v>
      </c>
      <c r="G40" t="inlineStr">
        <is>
          <t>POSTED</t>
        </is>
      </c>
    </row>
    <row r="41">
      <c r="A41" t="inlineStr">
        <is>
          <t>ACC-00023</t>
        </is>
      </c>
      <c r="B41" t="inlineStr">
        <is>
          <t>E-07</t>
        </is>
      </c>
      <c r="C41" t="inlineStr">
        <is>
          <t>Brightwater Marine</t>
        </is>
      </c>
      <c r="D41" t="inlineStr">
        <is>
          <t>CC-1200</t>
        </is>
      </c>
      <c r="E41" s="4" t="n">
        <v>121785.47</v>
      </c>
      <c r="F41" s="8" t="n">
        <v>46203</v>
      </c>
      <c r="G41" t="inlineStr">
        <is>
          <t>POSTED</t>
        </is>
      </c>
    </row>
    <row r="42">
      <c r="A42" t="inlineStr">
        <is>
          <t>ACC-00024</t>
        </is>
      </c>
      <c r="B42" t="inlineStr">
        <is>
          <t>E-07</t>
        </is>
      </c>
      <c r="C42" t="inlineStr">
        <is>
          <t>Brightwater Marine</t>
        </is>
      </c>
      <c r="D42" t="inlineStr">
        <is>
          <t>CC-3050</t>
        </is>
      </c>
      <c r="E42" s="4" t="n">
        <v>420994.97</v>
      </c>
      <c r="F42" s="8" t="n">
        <v>46203</v>
      </c>
      <c r="G42" t="inlineStr">
        <is>
          <t>CANCELLED</t>
        </is>
      </c>
    </row>
    <row r="43">
      <c r="A43" t="inlineStr">
        <is>
          <t>ACC-00025</t>
        </is>
      </c>
      <c r="B43" t="inlineStr">
        <is>
          <t>E-07</t>
        </is>
      </c>
      <c r="C43" t="inlineStr">
        <is>
          <t>Brightwater Marine</t>
        </is>
      </c>
      <c r="D43" t="inlineStr">
        <is>
          <t>CC-1200</t>
        </is>
      </c>
      <c r="E43" s="4" t="n">
        <v>471362.6</v>
      </c>
      <c r="F43" s="8" t="n">
        <v>46203</v>
      </c>
      <c r="G43" t="inlineStr">
        <is>
          <t>POSTED</t>
        </is>
      </c>
    </row>
    <row r="44">
      <c r="A44" t="inlineStr">
        <is>
          <t>ACC-00026</t>
        </is>
      </c>
      <c r="B44" t="inlineStr">
        <is>
          <t>E-07</t>
        </is>
      </c>
      <c r="C44" t="inlineStr">
        <is>
          <t>Brightwater Marine</t>
        </is>
      </c>
      <c r="D44" t="inlineStr">
        <is>
          <t>CC-3050</t>
        </is>
      </c>
      <c r="E44" s="4" t="n">
        <v>171634.07</v>
      </c>
      <c r="F44" s="8" t="n">
        <v>46203</v>
      </c>
      <c r="G44" t="inlineStr">
        <is>
          <t>POSTED</t>
        </is>
      </c>
    </row>
    <row r="45">
      <c r="A45" t="inlineStr">
        <is>
          <t>ACC-00027</t>
        </is>
      </c>
      <c r="B45" t="inlineStr">
        <is>
          <t>E-07</t>
        </is>
      </c>
      <c r="C45" t="inlineStr">
        <is>
          <t>Brightwater Marine</t>
        </is>
      </c>
      <c r="D45" t="inlineStr">
        <is>
          <t>CC-3050</t>
        </is>
      </c>
      <c r="E45" s="4" t="n">
        <v>279276.75</v>
      </c>
      <c r="F45" s="8" t="n">
        <v>46203</v>
      </c>
      <c r="G45" t="inlineStr">
        <is>
          <t>POSTED</t>
        </is>
      </c>
    </row>
    <row r="46">
      <c r="A46" t="inlineStr">
        <is>
          <t>ACC-00028</t>
        </is>
      </c>
      <c r="B46" t="inlineStr">
        <is>
          <t>E-07</t>
        </is>
      </c>
      <c r="C46" t="inlineStr">
        <is>
          <t>Brightwater Marine</t>
        </is>
      </c>
      <c r="D46" t="inlineStr">
        <is>
          <t>CC-3900</t>
        </is>
      </c>
      <c r="E46" s="4" t="n">
        <v>418287.75</v>
      </c>
      <c r="F46" s="8" t="n">
        <v>46203</v>
      </c>
      <c r="G46" t="inlineStr">
        <is>
          <t>POSTED</t>
        </is>
      </c>
    </row>
    <row r="47">
      <c r="A47" t="inlineStr">
        <is>
          <t>ACC-00029</t>
        </is>
      </c>
      <c r="B47" t="inlineStr">
        <is>
          <t>E-07</t>
        </is>
      </c>
      <c r="C47" t="inlineStr">
        <is>
          <t>Brightwater Marine</t>
        </is>
      </c>
      <c r="D47" t="inlineStr">
        <is>
          <t>CC-3900</t>
        </is>
      </c>
      <c r="E47" s="4" t="n">
        <v>77487.25</v>
      </c>
      <c r="F47" s="8" t="n">
        <v>46203</v>
      </c>
      <c r="G47" t="inlineStr">
        <is>
          <t>POSTED</t>
        </is>
      </c>
    </row>
    <row r="48">
      <c r="A48" t="inlineStr">
        <is>
          <t>ACC-00030</t>
        </is>
      </c>
      <c r="B48" t="inlineStr">
        <is>
          <t>E-07</t>
        </is>
      </c>
      <c r="C48" t="inlineStr">
        <is>
          <t>Brightwater Marine</t>
        </is>
      </c>
      <c r="D48" t="inlineStr">
        <is>
          <t>CC-3050</t>
        </is>
      </c>
      <c r="E48" s="4" t="n">
        <v>195898.41</v>
      </c>
      <c r="F48" s="8" t="n">
        <v>46203</v>
      </c>
      <c r="G48" t="inlineStr">
        <is>
          <t>POSTED</t>
        </is>
      </c>
    </row>
    <row r="49">
      <c r="A49" t="inlineStr">
        <is>
          <t>ACC-00031</t>
        </is>
      </c>
      <c r="B49" t="inlineStr">
        <is>
          <t>E-07</t>
        </is>
      </c>
      <c r="C49" t="inlineStr">
        <is>
          <t>Brightwater Marine</t>
        </is>
      </c>
      <c r="D49" t="inlineStr">
        <is>
          <t>CC-1100</t>
        </is>
      </c>
      <c r="E49" s="4" t="n">
        <v>483835.16</v>
      </c>
      <c r="F49" s="8" t="n">
        <v>46203</v>
      </c>
      <c r="G49" t="inlineStr">
        <is>
          <t>POSTED</t>
        </is>
      </c>
    </row>
    <row r="50">
      <c r="A50" t="inlineStr">
        <is>
          <t>ACC-00032</t>
        </is>
      </c>
      <c r="B50" t="inlineStr">
        <is>
          <t>E-07</t>
        </is>
      </c>
      <c r="C50" t="inlineStr">
        <is>
          <t>Brightwater Marine</t>
        </is>
      </c>
      <c r="D50" t="inlineStr">
        <is>
          <t>CC-1200</t>
        </is>
      </c>
      <c r="E50" s="4" t="n">
        <v>466716.01</v>
      </c>
      <c r="F50" s="8" t="n">
        <v>46203</v>
      </c>
      <c r="G50" t="inlineStr">
        <is>
          <t>POSTED</t>
        </is>
      </c>
    </row>
    <row r="51">
      <c r="A51" t="inlineStr">
        <is>
          <t>ACC-00033</t>
        </is>
      </c>
      <c r="B51" t="inlineStr">
        <is>
          <t>E-07</t>
        </is>
      </c>
      <c r="C51" t="inlineStr">
        <is>
          <t>Brightwater Marine</t>
        </is>
      </c>
      <c r="D51" t="inlineStr">
        <is>
          <t>CC-3050</t>
        </is>
      </c>
      <c r="E51" s="4" t="n">
        <v>209018.53</v>
      </c>
      <c r="F51" s="8" t="n">
        <v>46203</v>
      </c>
      <c r="G51" t="inlineStr">
        <is>
          <t>POSTED</t>
        </is>
      </c>
    </row>
    <row r="52">
      <c r="A52" t="inlineStr">
        <is>
          <t>ACC-00034</t>
        </is>
      </c>
      <c r="B52" t="inlineStr">
        <is>
          <t>E-07</t>
        </is>
      </c>
      <c r="C52" t="inlineStr">
        <is>
          <t>Brightwater Marine</t>
        </is>
      </c>
      <c r="D52" t="inlineStr">
        <is>
          <t>CC-1200</t>
        </is>
      </c>
      <c r="E52" s="4" t="n">
        <v>86747.21000000001</v>
      </c>
      <c r="F52" s="8" t="n">
        <v>46203</v>
      </c>
      <c r="G52" t="inlineStr">
        <is>
          <t>POSTED</t>
        </is>
      </c>
    </row>
    <row r="53">
      <c r="A53" t="inlineStr">
        <is>
          <t>ACC-00035</t>
        </is>
      </c>
      <c r="B53" t="inlineStr">
        <is>
          <t>E-07</t>
        </is>
      </c>
      <c r="C53" t="inlineStr">
        <is>
          <t>Brightwater Marine</t>
        </is>
      </c>
      <c r="D53" t="inlineStr">
        <is>
          <t>CC-1100</t>
        </is>
      </c>
      <c r="E53" s="4" t="n">
        <v>480154.24</v>
      </c>
      <c r="F53" s="8" t="n">
        <v>46203</v>
      </c>
      <c r="G53" t="inlineStr">
        <is>
          <t>POSTED</t>
        </is>
      </c>
    </row>
    <row r="54">
      <c r="A54" t="inlineStr">
        <is>
          <t>ACC-00036</t>
        </is>
      </c>
      <c r="B54" t="inlineStr">
        <is>
          <t>E-07</t>
        </is>
      </c>
      <c r="C54" t="inlineStr">
        <is>
          <t>Brightwater Marine</t>
        </is>
      </c>
      <c r="D54" t="inlineStr">
        <is>
          <t>CC-1200</t>
        </is>
      </c>
      <c r="E54" s="4" t="n">
        <v>216832.02</v>
      </c>
      <c r="F54" s="8" t="n">
        <v>46203</v>
      </c>
      <c r="G54" t="inlineStr">
        <is>
          <t>POSTED</t>
        </is>
      </c>
    </row>
    <row r="55">
      <c r="A55" t="inlineStr">
        <is>
          <t>ACC-00037</t>
        </is>
      </c>
      <c r="B55" t="inlineStr">
        <is>
          <t>E-07</t>
        </is>
      </c>
      <c r="C55" t="inlineStr">
        <is>
          <t>Brightwater Marine</t>
        </is>
      </c>
      <c r="D55" t="inlineStr">
        <is>
          <t>CC-1200</t>
        </is>
      </c>
      <c r="E55" s="4" t="n">
        <v>381071.09</v>
      </c>
      <c r="F55" s="8" t="n">
        <v>46203</v>
      </c>
      <c r="G55" t="inlineStr">
        <is>
          <t>POSTED</t>
        </is>
      </c>
    </row>
    <row r="56">
      <c r="A56" t="inlineStr">
        <is>
          <t>ACC-00038</t>
        </is>
      </c>
      <c r="B56" t="inlineStr">
        <is>
          <t>E-07</t>
        </is>
      </c>
      <c r="C56" t="inlineStr">
        <is>
          <t>Brightwater Marine</t>
        </is>
      </c>
      <c r="D56" t="inlineStr">
        <is>
          <t>CC-3050</t>
        </is>
      </c>
      <c r="E56" s="4" t="n">
        <v>215265.59</v>
      </c>
      <c r="F56" s="8" t="n">
        <v>46203</v>
      </c>
      <c r="G56" t="inlineStr">
        <is>
          <t>POSTED</t>
        </is>
      </c>
    </row>
    <row r="57">
      <c r="A57" t="inlineStr">
        <is>
          <t>ACC-00039</t>
        </is>
      </c>
      <c r="B57" t="inlineStr">
        <is>
          <t>E-07</t>
        </is>
      </c>
      <c r="C57" t="inlineStr">
        <is>
          <t>Brightwater Marine</t>
        </is>
      </c>
      <c r="D57" t="inlineStr">
        <is>
          <t>CC-3050</t>
        </is>
      </c>
      <c r="E57" s="4" t="n">
        <v>245613.4</v>
      </c>
      <c r="F57" s="8" t="n">
        <v>46203</v>
      </c>
      <c r="G57" t="inlineStr">
        <is>
          <t>POSTED</t>
        </is>
      </c>
    </row>
    <row r="58">
      <c r="A58" t="inlineStr">
        <is>
          <t>ACC-00040</t>
        </is>
      </c>
      <c r="B58" t="inlineStr">
        <is>
          <t>E-07</t>
        </is>
      </c>
      <c r="C58" t="inlineStr">
        <is>
          <t>Brightwater Marine</t>
        </is>
      </c>
      <c r="D58" t="inlineStr">
        <is>
          <t>CC-1100</t>
        </is>
      </c>
      <c r="E58" s="4" t="n">
        <v>351214.7</v>
      </c>
      <c r="F58" s="8" t="n">
        <v>46203</v>
      </c>
      <c r="G58" t="inlineStr">
        <is>
          <t>POSTED</t>
        </is>
      </c>
    </row>
    <row r="59">
      <c r="A59" t="inlineStr">
        <is>
          <t>ACC-00041</t>
        </is>
      </c>
      <c r="B59" t="inlineStr">
        <is>
          <t>E-09</t>
        </is>
      </c>
      <c r="C59" t="inlineStr">
        <is>
          <t>O'Brien &amp; Partners</t>
        </is>
      </c>
      <c r="D59" t="inlineStr">
        <is>
          <t>CC-1200</t>
        </is>
      </c>
      <c r="E59" s="4" t="n">
        <v>281487.4</v>
      </c>
      <c r="F59" s="8" t="n">
        <v>46203</v>
      </c>
      <c r="G59" t="inlineStr">
        <is>
          <t>POSTED</t>
        </is>
      </c>
    </row>
    <row r="60">
      <c r="A60" t="inlineStr">
        <is>
          <t>ACC-00042</t>
        </is>
      </c>
      <c r="B60" t="inlineStr">
        <is>
          <t>E-09</t>
        </is>
      </c>
      <c r="C60" t="inlineStr">
        <is>
          <t>O'Brien &amp; Partners</t>
        </is>
      </c>
      <c r="D60" t="inlineStr">
        <is>
          <t>CC-1100</t>
        </is>
      </c>
      <c r="E60" s="4" t="n">
        <v>138431.91</v>
      </c>
      <c r="F60" s="8" t="n">
        <v>46203</v>
      </c>
      <c r="G60" t="inlineStr">
        <is>
          <t>POSTED</t>
        </is>
      </c>
    </row>
    <row r="61">
      <c r="A61" t="inlineStr">
        <is>
          <t>ACC-00043</t>
        </is>
      </c>
      <c r="B61" t="inlineStr">
        <is>
          <t>E-09</t>
        </is>
      </c>
      <c r="C61" t="inlineStr">
        <is>
          <t>O'Brien &amp; Partners</t>
        </is>
      </c>
      <c r="D61" t="inlineStr">
        <is>
          <t>CC-2400</t>
        </is>
      </c>
      <c r="E61" s="4" t="n">
        <v>477244.72</v>
      </c>
      <c r="F61" s="8" t="n">
        <v>46203</v>
      </c>
      <c r="G61" t="inlineStr">
        <is>
          <t>POSTED</t>
        </is>
      </c>
    </row>
    <row r="62">
      <c r="A62" t="inlineStr">
        <is>
          <t>ACC-00044</t>
        </is>
      </c>
      <c r="B62" t="inlineStr">
        <is>
          <t>E-09</t>
        </is>
      </c>
      <c r="C62" t="inlineStr">
        <is>
          <t>O'Brien &amp; Partners</t>
        </is>
      </c>
      <c r="D62" t="inlineStr">
        <is>
          <t>CC-1200</t>
        </is>
      </c>
      <c r="E62" s="4" t="n">
        <v>381788.47</v>
      </c>
      <c r="F62" s="8" t="n">
        <v>46203</v>
      </c>
      <c r="G62" t="inlineStr">
        <is>
          <t>CANCELLED</t>
        </is>
      </c>
    </row>
    <row r="63">
      <c r="A63" t="inlineStr">
        <is>
          <t>ACC-00045</t>
        </is>
      </c>
      <c r="B63" t="inlineStr">
        <is>
          <t>E-09</t>
        </is>
      </c>
      <c r="C63" t="inlineStr">
        <is>
          <t>O'Brien &amp; Partners</t>
        </is>
      </c>
      <c r="D63" t="inlineStr">
        <is>
          <t>CC-2400</t>
        </is>
      </c>
      <c r="E63" s="4" t="n">
        <v>292856.18</v>
      </c>
      <c r="F63" s="8" t="n">
        <v>46203</v>
      </c>
      <c r="G63" t="inlineStr">
        <is>
          <t>POSTED</t>
        </is>
      </c>
    </row>
    <row r="64">
      <c r="A64" t="inlineStr">
        <is>
          <t>ACC-00046</t>
        </is>
      </c>
      <c r="B64" t="inlineStr">
        <is>
          <t>E-09</t>
        </is>
      </c>
      <c r="C64" t="inlineStr">
        <is>
          <t>O'Brien &amp; Partners</t>
        </is>
      </c>
      <c r="D64" t="inlineStr">
        <is>
          <t>CC-3050</t>
        </is>
      </c>
      <c r="E64" s="4" t="n">
        <v>198533.97</v>
      </c>
      <c r="F64" s="8" t="n">
        <v>46203</v>
      </c>
      <c r="G64" t="inlineStr">
        <is>
          <t>POSTED</t>
        </is>
      </c>
    </row>
    <row r="65">
      <c r="A65" t="inlineStr">
        <is>
          <t>ACC-00047</t>
        </is>
      </c>
      <c r="B65" t="inlineStr">
        <is>
          <t>E-09</t>
        </is>
      </c>
      <c r="C65" t="inlineStr">
        <is>
          <t>O'Brien &amp; Partners</t>
        </is>
      </c>
      <c r="D65" t="inlineStr">
        <is>
          <t>CC-1100</t>
        </is>
      </c>
      <c r="E65" s="4" t="n">
        <v>260392.18</v>
      </c>
      <c r="F65" s="8" t="n">
        <v>46203</v>
      </c>
      <c r="G65" t="inlineStr">
        <is>
          <t>POSTED</t>
        </is>
      </c>
    </row>
    <row r="66">
      <c r="A66" t="inlineStr">
        <is>
          <t>ACC-00048</t>
        </is>
      </c>
      <c r="B66" t="inlineStr">
        <is>
          <t>E-09</t>
        </is>
      </c>
      <c r="C66" t="inlineStr">
        <is>
          <t>O'Brien &amp; Partners</t>
        </is>
      </c>
      <c r="D66" t="inlineStr">
        <is>
          <t>CC-3900</t>
        </is>
      </c>
      <c r="E66" s="4" t="n">
        <v>67153.56</v>
      </c>
      <c r="F66" s="8" t="n">
        <v>46203</v>
      </c>
      <c r="G66" t="inlineStr">
        <is>
          <t>POSTED</t>
        </is>
      </c>
    </row>
    <row r="67">
      <c r="A67" t="inlineStr">
        <is>
          <t>ACC-00049</t>
        </is>
      </c>
      <c r="B67" t="inlineStr">
        <is>
          <t>E-09</t>
        </is>
      </c>
      <c r="C67" t="inlineStr">
        <is>
          <t>O'Brien &amp; Partners</t>
        </is>
      </c>
      <c r="D67" t="inlineStr">
        <is>
          <t>CC-2400</t>
        </is>
      </c>
      <c r="E67" s="4" t="n">
        <v>256043.65</v>
      </c>
      <c r="F67" s="8" t="n">
        <v>46203</v>
      </c>
      <c r="G67" t="inlineStr">
        <is>
          <t>POSTED</t>
        </is>
      </c>
    </row>
    <row r="68">
      <c r="A68" t="inlineStr">
        <is>
          <t>ACC-00050</t>
        </is>
      </c>
      <c r="B68" t="inlineStr">
        <is>
          <t>E-09</t>
        </is>
      </c>
      <c r="C68" t="inlineStr">
        <is>
          <t>O'Brien &amp; Partners</t>
        </is>
      </c>
      <c r="D68" t="inlineStr">
        <is>
          <t>CC-3050</t>
        </is>
      </c>
      <c r="E68" s="4" t="n">
        <v>424895.19</v>
      </c>
      <c r="F68" s="8" t="n">
        <v>46203</v>
      </c>
      <c r="G68" t="inlineStr">
        <is>
          <t>POSTED</t>
        </is>
      </c>
    </row>
    <row r="69">
      <c r="A69" t="inlineStr">
        <is>
          <t>ACC-00051</t>
        </is>
      </c>
      <c r="B69" t="inlineStr">
        <is>
          <t>E-09</t>
        </is>
      </c>
      <c r="C69" t="inlineStr">
        <is>
          <t>O'Brien &amp; Partners</t>
        </is>
      </c>
      <c r="D69" t="inlineStr">
        <is>
          <t>CC-1100</t>
        </is>
      </c>
      <c r="E69" s="4" t="n">
        <v>460259.83</v>
      </c>
      <c r="F69" s="8" t="n">
        <v>46203</v>
      </c>
      <c r="G69" t="inlineStr">
        <is>
          <t>POSTED</t>
        </is>
      </c>
    </row>
    <row r="70">
      <c r="A70" t="inlineStr">
        <is>
          <t>ACC-00052</t>
        </is>
      </c>
      <c r="B70" t="inlineStr">
        <is>
          <t>E-09</t>
        </is>
      </c>
      <c r="C70" t="inlineStr">
        <is>
          <t>O'Brien &amp; Partners</t>
        </is>
      </c>
      <c r="D70" t="inlineStr">
        <is>
          <t>CC-1100</t>
        </is>
      </c>
      <c r="E70" s="4" t="n">
        <v>330847.99</v>
      </c>
      <c r="F70" s="8" t="n">
        <v>46203</v>
      </c>
      <c r="G70" t="inlineStr">
        <is>
          <t>POSTED</t>
        </is>
      </c>
    </row>
    <row r="71">
      <c r="A71" t="inlineStr">
        <is>
          <t>ACC-00053</t>
        </is>
      </c>
      <c r="B71" t="inlineStr">
        <is>
          <t>E-09</t>
        </is>
      </c>
      <c r="C71" t="inlineStr">
        <is>
          <t>O'Brien &amp; Partners</t>
        </is>
      </c>
      <c r="D71" t="inlineStr">
        <is>
          <t>CC-3050</t>
        </is>
      </c>
      <c r="E71" s="4" t="n">
        <v>11799.98</v>
      </c>
      <c r="F71" s="8" t="n">
        <v>46203</v>
      </c>
      <c r="G71" t="inlineStr">
        <is>
          <t>POSTED</t>
        </is>
      </c>
    </row>
    <row r="72">
      <c r="A72" t="inlineStr">
        <is>
          <t>ACC-00054</t>
        </is>
      </c>
      <c r="B72" t="inlineStr">
        <is>
          <t>E-09</t>
        </is>
      </c>
      <c r="C72" t="inlineStr">
        <is>
          <t>O'Brien &amp; Partners</t>
        </is>
      </c>
      <c r="D72" t="inlineStr">
        <is>
          <t>CC-1200</t>
        </is>
      </c>
      <c r="E72" s="4" t="n">
        <v>460190.75</v>
      </c>
      <c r="F72" s="8" t="n">
        <v>46203</v>
      </c>
      <c r="G72" t="inlineStr">
        <is>
          <t>POSTED</t>
        </is>
      </c>
    </row>
    <row r="73">
      <c r="A73" t="inlineStr">
        <is>
          <t>ACC-00055</t>
        </is>
      </c>
      <c r="B73" t="inlineStr">
        <is>
          <t>E-09</t>
        </is>
      </c>
      <c r="C73" t="inlineStr">
        <is>
          <t>O'Brien &amp; Partners</t>
        </is>
      </c>
      <c r="D73" t="inlineStr">
        <is>
          <t>CC-1100</t>
        </is>
      </c>
      <c r="E73" s="4" t="n">
        <v>247021.58</v>
      </c>
      <c r="F73" s="8" t="n">
        <v>46203</v>
      </c>
      <c r="G73" t="inlineStr">
        <is>
          <t>POSTED</t>
        </is>
      </c>
    </row>
    <row r="74">
      <c r="A74" t="inlineStr">
        <is>
          <t>ACC-00056</t>
        </is>
      </c>
      <c r="B74" t="inlineStr">
        <is>
          <t>E-09</t>
        </is>
      </c>
      <c r="C74" t="inlineStr">
        <is>
          <t>O'Brien &amp; Partners</t>
        </is>
      </c>
      <c r="D74" t="inlineStr">
        <is>
          <t>CC-3900</t>
        </is>
      </c>
      <c r="E74" s="4" t="n">
        <v>464636.37</v>
      </c>
      <c r="F74" s="8" t="n">
        <v>46203</v>
      </c>
      <c r="G74" t="inlineStr">
        <is>
          <t>POSTED</t>
        </is>
      </c>
    </row>
    <row r="75">
      <c r="A75" t="inlineStr">
        <is>
          <t>ACC-00057</t>
        </is>
      </c>
      <c r="B75" t="inlineStr">
        <is>
          <t>E-09</t>
        </is>
      </c>
      <c r="C75" t="inlineStr">
        <is>
          <t>O'Brien &amp; Partners</t>
        </is>
      </c>
      <c r="D75" t="inlineStr">
        <is>
          <t>CC-1100</t>
        </is>
      </c>
      <c r="E75" s="4" t="n">
        <v>265685.14</v>
      </c>
      <c r="F75" s="8" t="n">
        <v>46203</v>
      </c>
      <c r="G75" t="inlineStr">
        <is>
          <t>POSTED</t>
        </is>
      </c>
    </row>
    <row r="76">
      <c r="A76" t="inlineStr">
        <is>
          <t>ACC-00058</t>
        </is>
      </c>
      <c r="B76" t="inlineStr">
        <is>
          <t>E-09</t>
        </is>
      </c>
      <c r="C76" t="inlineStr">
        <is>
          <t>O'Brien &amp; Partners</t>
        </is>
      </c>
      <c r="D76" t="inlineStr">
        <is>
          <t>CC-1200</t>
        </is>
      </c>
      <c r="E76" s="4" t="n">
        <v>222780.48</v>
      </c>
      <c r="F76" s="8" t="n">
        <v>46203</v>
      </c>
      <c r="G76" t="inlineStr">
        <is>
          <t>POSTED</t>
        </is>
      </c>
    </row>
    <row r="77">
      <c r="A77" t="inlineStr">
        <is>
          <t>ACC-00059</t>
        </is>
      </c>
      <c r="B77" t="inlineStr">
        <is>
          <t>E-09</t>
        </is>
      </c>
      <c r="C77" t="inlineStr">
        <is>
          <t>O'Brien &amp; Partners</t>
        </is>
      </c>
      <c r="D77" t="inlineStr">
        <is>
          <t>CC-2400</t>
        </is>
      </c>
      <c r="E77" s="4" t="n">
        <v>115920.13</v>
      </c>
      <c r="F77" s="8" t="n">
        <v>46203</v>
      </c>
      <c r="G77" t="inlineStr">
        <is>
          <t>POSTED</t>
        </is>
      </c>
    </row>
    <row r="78">
      <c r="A78" t="inlineStr">
        <is>
          <t>ACC-00060</t>
        </is>
      </c>
      <c r="B78" t="inlineStr">
        <is>
          <t>E-09</t>
        </is>
      </c>
      <c r="C78" t="inlineStr">
        <is>
          <t>O'Brien &amp; Partners</t>
        </is>
      </c>
      <c r="D78" t="inlineStr">
        <is>
          <t>CC-2400</t>
        </is>
      </c>
      <c r="E78" s="4" t="n">
        <v>454638.42</v>
      </c>
      <c r="F78" s="8" t="n">
        <v>46203</v>
      </c>
      <c r="G78" t="inlineStr">
        <is>
          <t>POSTED</t>
        </is>
      </c>
    </row>
    <row r="79">
      <c r="A79" t="inlineStr">
        <is>
          <t>ACC-00061</t>
        </is>
      </c>
      <c r="B79" t="inlineStr">
        <is>
          <t>E-12</t>
        </is>
      </c>
      <c r="C79" t="inlineStr">
        <is>
          <t>Calderstone Assurance</t>
        </is>
      </c>
      <c r="D79" t="inlineStr">
        <is>
          <t>CC-1100</t>
        </is>
      </c>
      <c r="E79" s="4" t="n">
        <v>187785.94</v>
      </c>
      <c r="F79" s="8" t="n">
        <v>46203</v>
      </c>
      <c r="G79" t="inlineStr">
        <is>
          <t>POSTED</t>
        </is>
      </c>
    </row>
    <row r="80">
      <c r="A80" t="inlineStr">
        <is>
          <t>ACC-00062</t>
        </is>
      </c>
      <c r="B80" t="inlineStr">
        <is>
          <t>E-12</t>
        </is>
      </c>
      <c r="C80" t="inlineStr">
        <is>
          <t>Calderstone Assurance</t>
        </is>
      </c>
      <c r="D80" t="inlineStr">
        <is>
          <t>CC-3900</t>
        </is>
      </c>
      <c r="E80" s="4" t="n">
        <v>483846.69</v>
      </c>
      <c r="F80" s="8" t="n">
        <v>46203</v>
      </c>
      <c r="G80" t="inlineStr">
        <is>
          <t>POSTED</t>
        </is>
      </c>
    </row>
    <row r="81">
      <c r="A81" t="inlineStr">
        <is>
          <t>ACC-00063</t>
        </is>
      </c>
      <c r="B81" t="inlineStr">
        <is>
          <t>E-12</t>
        </is>
      </c>
      <c r="C81" t="inlineStr">
        <is>
          <t>Calderstone Assurance</t>
        </is>
      </c>
      <c r="D81" t="inlineStr">
        <is>
          <t>CC-2400</t>
        </is>
      </c>
      <c r="E81" s="4" t="n">
        <v>133067.35</v>
      </c>
      <c r="F81" s="8" t="n">
        <v>46203</v>
      </c>
      <c r="G81" t="inlineStr">
        <is>
          <t>POSTED</t>
        </is>
      </c>
    </row>
    <row r="82">
      <c r="A82" t="inlineStr">
        <is>
          <t>ACC-00064</t>
        </is>
      </c>
      <c r="B82" t="inlineStr">
        <is>
          <t>E-12</t>
        </is>
      </c>
      <c r="C82" t="inlineStr">
        <is>
          <t>Calderstone Assurance</t>
        </is>
      </c>
      <c r="D82" t="inlineStr">
        <is>
          <t>CC-1200</t>
        </is>
      </c>
      <c r="E82" s="4" t="n">
        <v>213591.57</v>
      </c>
      <c r="F82" s="8" t="n">
        <v>46203</v>
      </c>
      <c r="G82" t="inlineStr">
        <is>
          <t>CANCELLED</t>
        </is>
      </c>
    </row>
    <row r="83">
      <c r="A83" t="inlineStr">
        <is>
          <t>ACC-00065</t>
        </is>
      </c>
      <c r="B83" t="inlineStr">
        <is>
          <t>E-12</t>
        </is>
      </c>
      <c r="C83" t="inlineStr">
        <is>
          <t>Calderstone Assurance</t>
        </is>
      </c>
      <c r="D83" t="inlineStr">
        <is>
          <t>CC-1200</t>
        </is>
      </c>
      <c r="E83" s="4" t="n">
        <v>32632.7</v>
      </c>
      <c r="F83" s="8" t="n">
        <v>46203</v>
      </c>
      <c r="G83" t="inlineStr">
        <is>
          <t>POSTED</t>
        </is>
      </c>
    </row>
    <row r="84">
      <c r="A84" t="inlineStr">
        <is>
          <t>ACC-00066</t>
        </is>
      </c>
      <c r="B84" t="inlineStr">
        <is>
          <t>E-12</t>
        </is>
      </c>
      <c r="C84" t="inlineStr">
        <is>
          <t>Calderstone Assurance</t>
        </is>
      </c>
      <c r="D84" t="inlineStr">
        <is>
          <t>CC-3050</t>
        </is>
      </c>
      <c r="E84" s="4" t="n">
        <v>132881.75</v>
      </c>
      <c r="F84" s="8" t="n">
        <v>46203</v>
      </c>
      <c r="G84" t="inlineStr">
        <is>
          <t>POSTED</t>
        </is>
      </c>
    </row>
    <row r="85">
      <c r="A85" t="inlineStr">
        <is>
          <t>ACC-00067</t>
        </is>
      </c>
      <c r="B85" t="inlineStr">
        <is>
          <t>E-12</t>
        </is>
      </c>
      <c r="C85" t="inlineStr">
        <is>
          <t>Calderstone Assurance</t>
        </is>
      </c>
      <c r="D85" t="inlineStr">
        <is>
          <t>CC-1100</t>
        </is>
      </c>
      <c r="E85" s="4" t="n">
        <v>436572.37</v>
      </c>
      <c r="F85" s="8" t="n">
        <v>46203</v>
      </c>
      <c r="G85" t="inlineStr">
        <is>
          <t>POSTED</t>
        </is>
      </c>
    </row>
    <row r="86">
      <c r="A86" t="inlineStr">
        <is>
          <t>ACC-00068</t>
        </is>
      </c>
      <c r="B86" t="inlineStr">
        <is>
          <t>E-12</t>
        </is>
      </c>
      <c r="C86" t="inlineStr">
        <is>
          <t>Calderstone Assurance</t>
        </is>
      </c>
      <c r="D86" t="inlineStr">
        <is>
          <t>CC-3900</t>
        </is>
      </c>
      <c r="E86" s="4" t="n">
        <v>441736.31</v>
      </c>
      <c r="F86" s="8" t="n">
        <v>46203</v>
      </c>
      <c r="G86" t="inlineStr">
        <is>
          <t>POSTED</t>
        </is>
      </c>
    </row>
    <row r="87">
      <c r="A87" t="inlineStr">
        <is>
          <t>ACC-00069</t>
        </is>
      </c>
      <c r="B87" t="inlineStr">
        <is>
          <t>E-12</t>
        </is>
      </c>
      <c r="C87" t="inlineStr">
        <is>
          <t>Calderstone Assurance</t>
        </is>
      </c>
      <c r="D87" t="inlineStr">
        <is>
          <t>CC-3900</t>
        </is>
      </c>
      <c r="E87" s="4" t="n">
        <v>56660.95</v>
      </c>
      <c r="F87" s="8" t="n">
        <v>46203</v>
      </c>
      <c r="G87" t="inlineStr">
        <is>
          <t>POSTED</t>
        </is>
      </c>
    </row>
    <row r="88">
      <c r="A88" t="inlineStr">
        <is>
          <t>ACC-00070</t>
        </is>
      </c>
      <c r="B88" t="inlineStr">
        <is>
          <t>E-12</t>
        </is>
      </c>
      <c r="C88" t="inlineStr">
        <is>
          <t>Calderstone Assurance</t>
        </is>
      </c>
      <c r="D88" t="inlineStr">
        <is>
          <t>CC-1100</t>
        </is>
      </c>
      <c r="E88" s="4" t="n">
        <v>451726.19</v>
      </c>
      <c r="F88" s="8" t="n">
        <v>46203</v>
      </c>
      <c r="G88" t="inlineStr">
        <is>
          <t>POSTED</t>
        </is>
      </c>
    </row>
    <row r="89">
      <c r="A89" t="inlineStr">
        <is>
          <t>ACC-00071</t>
        </is>
      </c>
      <c r="B89" t="inlineStr">
        <is>
          <t>E-12</t>
        </is>
      </c>
      <c r="C89" t="inlineStr">
        <is>
          <t>Calderstone Assurance</t>
        </is>
      </c>
      <c r="D89" t="inlineStr">
        <is>
          <t>CC-2400</t>
        </is>
      </c>
      <c r="E89" s="4" t="n">
        <v>202306.78</v>
      </c>
      <c r="F89" s="8" t="n">
        <v>46203</v>
      </c>
      <c r="G89" t="inlineStr">
        <is>
          <t>POSTED</t>
        </is>
      </c>
    </row>
    <row r="90">
      <c r="A90" t="inlineStr">
        <is>
          <t>ACC-00072</t>
        </is>
      </c>
      <c r="B90" t="inlineStr">
        <is>
          <t>E-12</t>
        </is>
      </c>
      <c r="C90" t="inlineStr">
        <is>
          <t>Calderstone Assurance</t>
        </is>
      </c>
      <c r="D90" t="inlineStr">
        <is>
          <t>CC-1100</t>
        </is>
      </c>
      <c r="E90" s="4" t="n">
        <v>28571.35</v>
      </c>
      <c r="F90" s="8" t="n">
        <v>46203</v>
      </c>
      <c r="G90" t="inlineStr">
        <is>
          <t>POSTED</t>
        </is>
      </c>
    </row>
    <row r="91">
      <c r="A91" t="inlineStr">
        <is>
          <t>ACC-00073</t>
        </is>
      </c>
      <c r="B91" t="inlineStr">
        <is>
          <t>E-12</t>
        </is>
      </c>
      <c r="C91" t="inlineStr">
        <is>
          <t>Calderstone Assurance</t>
        </is>
      </c>
      <c r="D91" t="inlineStr">
        <is>
          <t>CC-1100</t>
        </is>
      </c>
      <c r="E91" s="4" t="n">
        <v>83561.03</v>
      </c>
      <c r="F91" s="8" t="n">
        <v>46203</v>
      </c>
      <c r="G91" t="inlineStr">
        <is>
          <t>POSTED</t>
        </is>
      </c>
    </row>
    <row r="92">
      <c r="A92" t="inlineStr">
        <is>
          <t>ACC-00074</t>
        </is>
      </c>
      <c r="B92" t="inlineStr">
        <is>
          <t>E-12</t>
        </is>
      </c>
      <c r="C92" t="inlineStr">
        <is>
          <t>Calderstone Assurance</t>
        </is>
      </c>
      <c r="D92" t="inlineStr">
        <is>
          <t>CC-2400</t>
        </is>
      </c>
      <c r="E92" s="4" t="n">
        <v>354946.92</v>
      </c>
      <c r="F92" s="8" t="n">
        <v>46203</v>
      </c>
      <c r="G92" t="inlineStr">
        <is>
          <t>POSTED</t>
        </is>
      </c>
    </row>
    <row r="93">
      <c r="A93" t="inlineStr">
        <is>
          <t>ACC-00075</t>
        </is>
      </c>
      <c r="B93" t="inlineStr">
        <is>
          <t>E-12</t>
        </is>
      </c>
      <c r="C93" t="inlineStr">
        <is>
          <t>Calderstone Assurance</t>
        </is>
      </c>
      <c r="D93" t="inlineStr">
        <is>
          <t>CC-1100</t>
        </is>
      </c>
      <c r="E93" s="4" t="n">
        <v>449569.19</v>
      </c>
      <c r="F93" s="8" t="n">
        <v>46203</v>
      </c>
      <c r="G93" t="inlineStr">
        <is>
          <t>POSTED</t>
        </is>
      </c>
    </row>
    <row r="94">
      <c r="A94" t="inlineStr">
        <is>
          <t>ACC-00076</t>
        </is>
      </c>
      <c r="B94" t="inlineStr">
        <is>
          <t>E-12</t>
        </is>
      </c>
      <c r="C94" t="inlineStr">
        <is>
          <t>Calderstone Assurance</t>
        </is>
      </c>
      <c r="D94" t="inlineStr">
        <is>
          <t>CC-2400</t>
        </is>
      </c>
      <c r="E94" s="4" t="n">
        <v>105746.77</v>
      </c>
      <c r="F94" s="8" t="n">
        <v>46203</v>
      </c>
      <c r="G94" t="inlineStr">
        <is>
          <t>POSTED</t>
        </is>
      </c>
    </row>
    <row r="95">
      <c r="A95" t="inlineStr">
        <is>
          <t>ACC-00077</t>
        </is>
      </c>
      <c r="B95" t="inlineStr">
        <is>
          <t>E-12</t>
        </is>
      </c>
      <c r="C95" t="inlineStr">
        <is>
          <t>Calderstone Assurance</t>
        </is>
      </c>
      <c r="D95" t="inlineStr">
        <is>
          <t>CC-1200</t>
        </is>
      </c>
      <c r="E95" s="4" t="n">
        <v>10611.98</v>
      </c>
      <c r="F95" s="8" t="n">
        <v>46203</v>
      </c>
      <c r="G95" t="inlineStr">
        <is>
          <t>POSTED</t>
        </is>
      </c>
    </row>
    <row r="96">
      <c r="A96" t="inlineStr">
        <is>
          <t>ACC-00078</t>
        </is>
      </c>
      <c r="B96" t="inlineStr">
        <is>
          <t>E-12</t>
        </is>
      </c>
      <c r="C96" t="inlineStr">
        <is>
          <t>Calderstone Assurance</t>
        </is>
      </c>
      <c r="D96" t="inlineStr">
        <is>
          <t>CC-1200</t>
        </is>
      </c>
      <c r="E96" s="4" t="n">
        <v>404393.26</v>
      </c>
      <c r="F96" s="8" t="n">
        <v>46203</v>
      </c>
      <c r="G96" t="inlineStr">
        <is>
          <t>POSTED</t>
        </is>
      </c>
    </row>
    <row r="97">
      <c r="A97" t="inlineStr">
        <is>
          <t>ACC-00079</t>
        </is>
      </c>
      <c r="B97" t="inlineStr">
        <is>
          <t>E-12</t>
        </is>
      </c>
      <c r="C97" t="inlineStr">
        <is>
          <t>Calderstone Assurance</t>
        </is>
      </c>
      <c r="D97" t="inlineStr">
        <is>
          <t>CC-1200</t>
        </is>
      </c>
      <c r="E97" s="4" t="n">
        <v>229429.33</v>
      </c>
      <c r="F97" s="8" t="n">
        <v>46203</v>
      </c>
      <c r="G97" t="inlineStr">
        <is>
          <t>POSTED</t>
        </is>
      </c>
    </row>
    <row r="98">
      <c r="A98" t="inlineStr">
        <is>
          <t>ACC-00080</t>
        </is>
      </c>
      <c r="B98" t="inlineStr">
        <is>
          <t>E-12</t>
        </is>
      </c>
      <c r="C98" t="inlineStr">
        <is>
          <t>Calderstone Assurance</t>
        </is>
      </c>
      <c r="D98" t="inlineStr">
        <is>
          <t>CC-1200</t>
        </is>
      </c>
      <c r="E98" s="4" t="n">
        <v>22246.2</v>
      </c>
      <c r="F98" s="8" t="n">
        <v>46203</v>
      </c>
      <c r="G98" t="inlineStr">
        <is>
          <t>POSTED</t>
        </is>
      </c>
    </row>
    <row r="99">
      <c r="A99" t="inlineStr">
        <is>
          <t>ACC-00081</t>
        </is>
      </c>
      <c r="B99" t="inlineStr">
        <is>
          <t>E-15</t>
        </is>
      </c>
      <c r="C99" t="inlineStr">
        <is>
          <t>Pennine Logistics</t>
        </is>
      </c>
      <c r="D99" t="inlineStr">
        <is>
          <t>CC-2400</t>
        </is>
      </c>
      <c r="E99" s="4" t="n">
        <v>237972.71</v>
      </c>
      <c r="F99" s="8" t="n">
        <v>46203</v>
      </c>
      <c r="G99" t="inlineStr">
        <is>
          <t>POSTED</t>
        </is>
      </c>
    </row>
    <row r="100">
      <c r="A100" t="inlineStr">
        <is>
          <t>ACC-00082</t>
        </is>
      </c>
      <c r="B100" t="inlineStr">
        <is>
          <t>E-15</t>
        </is>
      </c>
      <c r="C100" t="inlineStr">
        <is>
          <t>Pennine Logistics</t>
        </is>
      </c>
      <c r="D100" t="inlineStr">
        <is>
          <t>CC-2400</t>
        </is>
      </c>
      <c r="E100" s="4" t="n">
        <v>48765.46</v>
      </c>
      <c r="F100" s="8" t="n">
        <v>46203</v>
      </c>
      <c r="G100" t="inlineStr">
        <is>
          <t>POSTED</t>
        </is>
      </c>
    </row>
    <row r="101">
      <c r="A101" t="inlineStr">
        <is>
          <t>ACC-00083</t>
        </is>
      </c>
      <c r="B101" t="inlineStr">
        <is>
          <t>E-15</t>
        </is>
      </c>
      <c r="C101" t="inlineStr">
        <is>
          <t>Pennine Logistics</t>
        </is>
      </c>
      <c r="D101" t="inlineStr">
        <is>
          <t>CC-1200</t>
        </is>
      </c>
      <c r="E101" s="4" t="n">
        <v>267584.71</v>
      </c>
      <c r="F101" s="8" t="n">
        <v>46203</v>
      </c>
      <c r="G101" t="inlineStr">
        <is>
          <t>POSTED</t>
        </is>
      </c>
    </row>
    <row r="102">
      <c r="A102" t="inlineStr">
        <is>
          <t>ACC-00084</t>
        </is>
      </c>
      <c r="B102" t="inlineStr">
        <is>
          <t>E-15</t>
        </is>
      </c>
      <c r="C102" t="inlineStr">
        <is>
          <t>Pennine Logistics</t>
        </is>
      </c>
      <c r="D102" t="inlineStr">
        <is>
          <t>CC-3050</t>
        </is>
      </c>
      <c r="E102" s="4" t="n">
        <v>373276.04</v>
      </c>
      <c r="F102" s="8" t="n">
        <v>46203</v>
      </c>
      <c r="G102" t="inlineStr">
        <is>
          <t>POSTED</t>
        </is>
      </c>
    </row>
    <row r="103">
      <c r="A103" t="inlineStr">
        <is>
          <t>ACC-00085</t>
        </is>
      </c>
      <c r="B103" t="inlineStr">
        <is>
          <t>E-15</t>
        </is>
      </c>
      <c r="C103" t="inlineStr">
        <is>
          <t>Pennine Logistics</t>
        </is>
      </c>
      <c r="D103" t="inlineStr">
        <is>
          <t>CC-3050</t>
        </is>
      </c>
      <c r="E103" s="4" t="n">
        <v>342579.62</v>
      </c>
      <c r="F103" s="8" t="n">
        <v>46203</v>
      </c>
      <c r="G103" t="inlineStr">
        <is>
          <t>POSTED</t>
        </is>
      </c>
    </row>
    <row r="104">
      <c r="A104" t="inlineStr">
        <is>
          <t>ACC-00086</t>
        </is>
      </c>
      <c r="B104" t="inlineStr">
        <is>
          <t>E-15</t>
        </is>
      </c>
      <c r="C104" t="inlineStr">
        <is>
          <t>Pennine Logistics</t>
        </is>
      </c>
      <c r="D104" t="inlineStr">
        <is>
          <t>CC-3050</t>
        </is>
      </c>
      <c r="E104" s="4" t="n">
        <v>241757.52</v>
      </c>
      <c r="F104" s="8" t="n">
        <v>46203</v>
      </c>
      <c r="G104" t="inlineStr">
        <is>
          <t>POSTED</t>
        </is>
      </c>
    </row>
    <row r="105">
      <c r="A105" t="inlineStr">
        <is>
          <t>ACC-00087</t>
        </is>
      </c>
      <c r="B105" t="inlineStr">
        <is>
          <t>E-15</t>
        </is>
      </c>
      <c r="C105" t="inlineStr">
        <is>
          <t>Pennine Logistics</t>
        </is>
      </c>
      <c r="D105" t="inlineStr">
        <is>
          <t>CC-3050</t>
        </is>
      </c>
      <c r="E105" s="4" t="n">
        <v>454219.86</v>
      </c>
      <c r="F105" s="8" t="n">
        <v>46203</v>
      </c>
      <c r="G105" t="inlineStr">
        <is>
          <t>POSTED</t>
        </is>
      </c>
    </row>
    <row r="106">
      <c r="A106" t="inlineStr">
        <is>
          <t>ACC-00088</t>
        </is>
      </c>
      <c r="B106" t="inlineStr">
        <is>
          <t>E-15</t>
        </is>
      </c>
      <c r="C106" t="inlineStr">
        <is>
          <t>Pennine Logistics</t>
        </is>
      </c>
      <c r="D106" t="inlineStr">
        <is>
          <t>CC-3050</t>
        </is>
      </c>
      <c r="E106" s="4" t="n">
        <v>340218.89</v>
      </c>
      <c r="F106" s="8" t="n">
        <v>46203</v>
      </c>
      <c r="G106" t="inlineStr">
        <is>
          <t>POSTED</t>
        </is>
      </c>
    </row>
    <row r="107">
      <c r="A107" t="inlineStr">
        <is>
          <t>ACC-00089</t>
        </is>
      </c>
      <c r="B107" t="inlineStr">
        <is>
          <t>E-15</t>
        </is>
      </c>
      <c r="C107" t="inlineStr">
        <is>
          <t>Pennine Logistics</t>
        </is>
      </c>
      <c r="D107" t="inlineStr">
        <is>
          <t>CC-1200</t>
        </is>
      </c>
      <c r="E107" s="4" t="n">
        <v>104112.9</v>
      </c>
      <c r="F107" s="8" t="n">
        <v>46203</v>
      </c>
      <c r="G107" t="inlineStr">
        <is>
          <t>POSTED</t>
        </is>
      </c>
    </row>
    <row r="108">
      <c r="A108" t="inlineStr">
        <is>
          <t>ACC-00090</t>
        </is>
      </c>
      <c r="B108" t="inlineStr">
        <is>
          <t>E-15</t>
        </is>
      </c>
      <c r="C108" t="inlineStr">
        <is>
          <t>Pennine Logistics</t>
        </is>
      </c>
      <c r="D108" t="inlineStr">
        <is>
          <t>CC-3050</t>
        </is>
      </c>
      <c r="E108" s="4" t="n">
        <v>128323.29</v>
      </c>
      <c r="F108" s="8" t="n">
        <v>46203</v>
      </c>
      <c r="G108" t="inlineStr">
        <is>
          <t>POSTED</t>
        </is>
      </c>
    </row>
    <row r="109">
      <c r="A109" t="inlineStr">
        <is>
          <t>ACC-00091</t>
        </is>
      </c>
      <c r="B109" t="inlineStr">
        <is>
          <t>E-15</t>
        </is>
      </c>
      <c r="C109" t="inlineStr">
        <is>
          <t>Pennine Logistics</t>
        </is>
      </c>
      <c r="D109" t="inlineStr">
        <is>
          <t>CC-2400</t>
        </is>
      </c>
      <c r="E109" s="4" t="n">
        <v>15155.61</v>
      </c>
      <c r="F109" s="8" t="n">
        <v>46203</v>
      </c>
      <c r="G109" t="inlineStr">
        <is>
          <t>POSTED</t>
        </is>
      </c>
    </row>
    <row r="110">
      <c r="A110" t="inlineStr">
        <is>
          <t>ACC-00092</t>
        </is>
      </c>
      <c r="B110" t="inlineStr">
        <is>
          <t>E-15</t>
        </is>
      </c>
      <c r="C110" t="inlineStr">
        <is>
          <t>Pennine Logistics</t>
        </is>
      </c>
      <c r="D110" t="inlineStr">
        <is>
          <t>CC-3050</t>
        </is>
      </c>
      <c r="E110" s="4" t="n">
        <v>58226.66</v>
      </c>
      <c r="F110" s="8" t="n">
        <v>46203</v>
      </c>
      <c r="G110" t="inlineStr">
        <is>
          <t>POSTED</t>
        </is>
      </c>
    </row>
    <row r="111">
      <c r="A111" t="inlineStr">
        <is>
          <t>ACC-00093</t>
        </is>
      </c>
      <c r="B111" t="inlineStr">
        <is>
          <t>E-15</t>
        </is>
      </c>
      <c r="C111" t="inlineStr">
        <is>
          <t>Pennine Logistics</t>
        </is>
      </c>
      <c r="D111" t="inlineStr">
        <is>
          <t>CC-3900</t>
        </is>
      </c>
      <c r="E111" s="4" t="n">
        <v>274461.67</v>
      </c>
      <c r="F111" s="8" t="n">
        <v>46203</v>
      </c>
      <c r="G111" t="inlineStr">
        <is>
          <t>POSTED</t>
        </is>
      </c>
    </row>
    <row r="112">
      <c r="A112" t="inlineStr">
        <is>
          <t>ACC-00094</t>
        </is>
      </c>
      <c r="B112" t="inlineStr">
        <is>
          <t>E-15</t>
        </is>
      </c>
      <c r="C112" t="inlineStr">
        <is>
          <t>Pennine Logistics</t>
        </is>
      </c>
      <c r="D112" t="inlineStr">
        <is>
          <t>CC-1100</t>
        </is>
      </c>
      <c r="E112" s="4" t="n">
        <v>468136.73</v>
      </c>
      <c r="F112" s="8" t="n">
        <v>46203</v>
      </c>
      <c r="G112" t="inlineStr">
        <is>
          <t>POSTED</t>
        </is>
      </c>
    </row>
    <row r="113">
      <c r="A113" t="inlineStr">
        <is>
          <t>ACC-00095</t>
        </is>
      </c>
      <c r="B113" t="inlineStr">
        <is>
          <t>E-15</t>
        </is>
      </c>
      <c r="C113" t="inlineStr">
        <is>
          <t>Pennine Logistics</t>
        </is>
      </c>
      <c r="D113" t="inlineStr">
        <is>
          <t>CC-3050</t>
        </is>
      </c>
      <c r="E113" s="4" t="n">
        <v>48957.19</v>
      </c>
      <c r="F113" s="8" t="n">
        <v>46203</v>
      </c>
      <c r="G113" t="inlineStr">
        <is>
          <t>POSTED</t>
        </is>
      </c>
    </row>
    <row r="114">
      <c r="A114" t="inlineStr">
        <is>
          <t>ACC-00096</t>
        </is>
      </c>
      <c r="B114" t="inlineStr">
        <is>
          <t>E-15</t>
        </is>
      </c>
      <c r="C114" t="inlineStr">
        <is>
          <t>Pennine Logistics</t>
        </is>
      </c>
      <c r="D114" t="inlineStr">
        <is>
          <t>CC-3900</t>
        </is>
      </c>
      <c r="E114" s="4" t="n">
        <v>184523.01</v>
      </c>
      <c r="F114" s="8" t="n">
        <v>46203</v>
      </c>
      <c r="G114" t="inlineStr">
        <is>
          <t>POSTED</t>
        </is>
      </c>
    </row>
    <row r="115">
      <c r="A115" t="inlineStr">
        <is>
          <t>ACC-00097</t>
        </is>
      </c>
      <c r="B115" t="inlineStr">
        <is>
          <t>E-15</t>
        </is>
      </c>
      <c r="C115" t="inlineStr">
        <is>
          <t>Pennine Logistics</t>
        </is>
      </c>
      <c r="D115" t="inlineStr">
        <is>
          <t>CC-1200</t>
        </is>
      </c>
      <c r="E115" s="4" t="n">
        <v>297027.86</v>
      </c>
      <c r="F115" s="8" t="n">
        <v>46203</v>
      </c>
      <c r="G115" t="inlineStr">
        <is>
          <t>POSTED</t>
        </is>
      </c>
    </row>
    <row r="116">
      <c r="A116" t="inlineStr">
        <is>
          <t>ACC-00098</t>
        </is>
      </c>
      <c r="B116" t="inlineStr">
        <is>
          <t>E-15</t>
        </is>
      </c>
      <c r="C116" t="inlineStr">
        <is>
          <t>Pennine Logistics</t>
        </is>
      </c>
      <c r="D116" t="inlineStr">
        <is>
          <t>CC-1200</t>
        </is>
      </c>
      <c r="E116" s="4" t="n">
        <v>3063.58</v>
      </c>
      <c r="F116" s="8" t="n">
        <v>46203</v>
      </c>
      <c r="G116" t="inlineStr">
        <is>
          <t>POSTED</t>
        </is>
      </c>
    </row>
    <row r="117">
      <c r="A117" t="inlineStr">
        <is>
          <t>ACC-00099</t>
        </is>
      </c>
      <c r="B117" t="inlineStr">
        <is>
          <t>E-15</t>
        </is>
      </c>
      <c r="C117" t="inlineStr">
        <is>
          <t>Pennine Logistics</t>
        </is>
      </c>
      <c r="D117" t="inlineStr">
        <is>
          <t>CC-2400</t>
        </is>
      </c>
      <c r="E117" s="4" t="n">
        <v>398945.63</v>
      </c>
      <c r="F117" s="8" t="n">
        <v>46203</v>
      </c>
      <c r="G117" t="inlineStr">
        <is>
          <t>POSTED</t>
        </is>
      </c>
    </row>
    <row r="118">
      <c r="A118" t="inlineStr">
        <is>
          <t>ACC-00100</t>
        </is>
      </c>
      <c r="B118" t="inlineStr">
        <is>
          <t>E-15</t>
        </is>
      </c>
      <c r="C118" t="inlineStr">
        <is>
          <t>Pennine Logistics</t>
        </is>
      </c>
      <c r="D118" t="inlineStr">
        <is>
          <t>CC-2400</t>
        </is>
      </c>
      <c r="E118" s="4" t="n">
        <v>114928.65</v>
      </c>
      <c r="F118" s="8" t="n">
        <v>46203</v>
      </c>
      <c r="G118" t="inlineStr">
        <is>
          <t>POSTED</t>
        </is>
      </c>
    </row>
    <row r="119">
      <c r="A119" t="inlineStr">
        <is>
          <t>ACC-00101</t>
        </is>
      </c>
      <c r="B119" t="inlineStr">
        <is>
          <t>E-21</t>
        </is>
      </c>
      <c r="C119" t="inlineStr">
        <is>
          <t>Harbourfield Retail</t>
        </is>
      </c>
      <c r="D119" t="inlineStr">
        <is>
          <t>CC-1200</t>
        </is>
      </c>
      <c r="E119" s="4" t="n">
        <v>17897.22</v>
      </c>
      <c r="F119" s="8" t="n">
        <v>46203</v>
      </c>
      <c r="G119" t="inlineStr">
        <is>
          <t>POSTED</t>
        </is>
      </c>
    </row>
    <row r="120">
      <c r="A120" t="inlineStr">
        <is>
          <t>ACC-00102</t>
        </is>
      </c>
      <c r="B120" t="inlineStr">
        <is>
          <t>E-21</t>
        </is>
      </c>
      <c r="C120" t="inlineStr">
        <is>
          <t>Harbourfield Retail</t>
        </is>
      </c>
      <c r="D120" t="inlineStr">
        <is>
          <t>CC-3900</t>
        </is>
      </c>
      <c r="E120" s="4" t="n">
        <v>104759.85</v>
      </c>
      <c r="F120" s="8" t="n">
        <v>46203</v>
      </c>
      <c r="G120" t="inlineStr">
        <is>
          <t>POSTED</t>
        </is>
      </c>
    </row>
    <row r="121">
      <c r="A121" t="inlineStr">
        <is>
          <t>ACC-00103</t>
        </is>
      </c>
      <c r="B121" t="inlineStr">
        <is>
          <t>E-21</t>
        </is>
      </c>
      <c r="C121" t="inlineStr">
        <is>
          <t>Harbourfield Retail</t>
        </is>
      </c>
      <c r="D121" t="inlineStr">
        <is>
          <t>CC-3050</t>
        </is>
      </c>
      <c r="E121" s="4" t="n">
        <v>474615.62</v>
      </c>
      <c r="F121" s="8" t="n">
        <v>46203</v>
      </c>
      <c r="G121" t="inlineStr">
        <is>
          <t>POSTED</t>
        </is>
      </c>
    </row>
    <row r="122">
      <c r="A122" t="inlineStr">
        <is>
          <t>ACC-00104</t>
        </is>
      </c>
      <c r="B122" t="inlineStr">
        <is>
          <t>E-21</t>
        </is>
      </c>
      <c r="C122" t="inlineStr">
        <is>
          <t>Harbourfield Retail</t>
        </is>
      </c>
      <c r="D122" t="inlineStr">
        <is>
          <t>CC-3050</t>
        </is>
      </c>
      <c r="E122" s="4" t="n">
        <v>436193.22</v>
      </c>
      <c r="F122" s="8" t="n">
        <v>46203</v>
      </c>
      <c r="G122" t="inlineStr">
        <is>
          <t>POSTED</t>
        </is>
      </c>
    </row>
    <row r="123">
      <c r="A123" t="inlineStr">
        <is>
          <t>ACC-00105</t>
        </is>
      </c>
      <c r="B123" t="inlineStr">
        <is>
          <t>E-21</t>
        </is>
      </c>
      <c r="C123" t="inlineStr">
        <is>
          <t>Harbourfield Retail</t>
        </is>
      </c>
      <c r="D123" t="inlineStr">
        <is>
          <t>CC-1200</t>
        </is>
      </c>
      <c r="E123" s="4" t="n">
        <v>449127.18</v>
      </c>
      <c r="F123" s="8" t="n">
        <v>46203</v>
      </c>
      <c r="G123" t="inlineStr">
        <is>
          <t>POSTED</t>
        </is>
      </c>
    </row>
    <row r="124">
      <c r="A124" t="inlineStr">
        <is>
          <t>ACC-00106</t>
        </is>
      </c>
      <c r="B124" t="inlineStr">
        <is>
          <t>E-21</t>
        </is>
      </c>
      <c r="C124" t="inlineStr">
        <is>
          <t>Harbourfield Retail</t>
        </is>
      </c>
      <c r="D124" t="inlineStr">
        <is>
          <t>CC-2400</t>
        </is>
      </c>
      <c r="E124" s="4" t="n">
        <v>183333.58</v>
      </c>
      <c r="F124" s="8" t="n">
        <v>46203</v>
      </c>
      <c r="G124" t="inlineStr">
        <is>
          <t>POSTED</t>
        </is>
      </c>
    </row>
    <row r="125">
      <c r="A125" t="inlineStr">
        <is>
          <t>ACC-00107</t>
        </is>
      </c>
      <c r="B125" t="inlineStr">
        <is>
          <t>E-21</t>
        </is>
      </c>
      <c r="C125" t="inlineStr">
        <is>
          <t>Harbourfield Retail</t>
        </is>
      </c>
      <c r="D125" t="inlineStr">
        <is>
          <t>CC-3050</t>
        </is>
      </c>
      <c r="E125" s="4" t="n">
        <v>21099.24</v>
      </c>
      <c r="F125" s="8" t="n">
        <v>46203</v>
      </c>
      <c r="G125" t="inlineStr">
        <is>
          <t>POSTED</t>
        </is>
      </c>
    </row>
    <row r="126">
      <c r="A126" t="inlineStr">
        <is>
          <t>ACC-00108</t>
        </is>
      </c>
      <c r="B126" t="inlineStr">
        <is>
          <t>E-21</t>
        </is>
      </c>
      <c r="C126" t="inlineStr">
        <is>
          <t>Harbourfield Retail</t>
        </is>
      </c>
      <c r="D126" t="inlineStr">
        <is>
          <t>CC-1100</t>
        </is>
      </c>
      <c r="E126" s="4" t="n">
        <v>366291.83</v>
      </c>
      <c r="F126" s="8" t="n">
        <v>46203</v>
      </c>
      <c r="G126" t="inlineStr">
        <is>
          <t>POSTED</t>
        </is>
      </c>
    </row>
    <row r="127">
      <c r="A127" t="inlineStr">
        <is>
          <t>ACC-00109</t>
        </is>
      </c>
      <c r="B127" t="inlineStr">
        <is>
          <t>E-21</t>
        </is>
      </c>
      <c r="C127" t="inlineStr">
        <is>
          <t>Harbourfield Retail</t>
        </is>
      </c>
      <c r="D127" t="inlineStr">
        <is>
          <t>CC-3900</t>
        </is>
      </c>
      <c r="E127" s="4" t="n">
        <v>385214.95</v>
      </c>
      <c r="F127" s="8" t="n">
        <v>46203</v>
      </c>
      <c r="G127" t="inlineStr">
        <is>
          <t>POSTED</t>
        </is>
      </c>
    </row>
    <row r="128">
      <c r="A128" t="inlineStr">
        <is>
          <t>ACC-00110</t>
        </is>
      </c>
      <c r="B128" t="inlineStr">
        <is>
          <t>E-21</t>
        </is>
      </c>
      <c r="C128" t="inlineStr">
        <is>
          <t>Harbourfield Retail</t>
        </is>
      </c>
      <c r="D128" t="inlineStr">
        <is>
          <t>CC-2400</t>
        </is>
      </c>
      <c r="E128" s="4" t="n">
        <v>291920.76</v>
      </c>
      <c r="F128" s="8" t="n">
        <v>46203</v>
      </c>
      <c r="G128" t="inlineStr">
        <is>
          <t>POSTED</t>
        </is>
      </c>
    </row>
    <row r="129">
      <c r="A129" t="inlineStr">
        <is>
          <t>ACC-00111</t>
        </is>
      </c>
      <c r="B129" t="inlineStr">
        <is>
          <t>E-21</t>
        </is>
      </c>
      <c r="C129" t="inlineStr">
        <is>
          <t>Harbourfield Retail</t>
        </is>
      </c>
      <c r="D129" t="inlineStr">
        <is>
          <t>CC-3900</t>
        </is>
      </c>
      <c r="E129" s="4" t="n">
        <v>45939.69</v>
      </c>
      <c r="F129" s="8" t="n">
        <v>46203</v>
      </c>
      <c r="G129" t="inlineStr">
        <is>
          <t>POSTED</t>
        </is>
      </c>
    </row>
    <row r="130">
      <c r="A130" t="inlineStr">
        <is>
          <t>ACC-00112</t>
        </is>
      </c>
      <c r="B130" t="inlineStr">
        <is>
          <t>E-21</t>
        </is>
      </c>
      <c r="C130" t="inlineStr">
        <is>
          <t>Harbourfield Retail</t>
        </is>
      </c>
      <c r="D130" t="inlineStr">
        <is>
          <t>CC-2400</t>
        </is>
      </c>
      <c r="E130" s="4" t="n">
        <v>165908.01</v>
      </c>
      <c r="F130" s="8" t="n">
        <v>46203</v>
      </c>
      <c r="G130" t="inlineStr">
        <is>
          <t>POSTED</t>
        </is>
      </c>
    </row>
    <row r="131">
      <c r="A131" t="inlineStr">
        <is>
          <t>ACC-00113</t>
        </is>
      </c>
      <c r="B131" t="inlineStr">
        <is>
          <t>E-21</t>
        </is>
      </c>
      <c r="C131" t="inlineStr">
        <is>
          <t>Harbourfield Retail</t>
        </is>
      </c>
      <c r="D131" t="inlineStr">
        <is>
          <t>CC-3050</t>
        </is>
      </c>
      <c r="E131" s="4" t="n">
        <v>231234.67</v>
      </c>
      <c r="F131" s="8" t="n">
        <v>46203</v>
      </c>
      <c r="G131" t="inlineStr">
        <is>
          <t>POSTED</t>
        </is>
      </c>
    </row>
    <row r="132">
      <c r="A132" t="inlineStr">
        <is>
          <t>ACC-00114</t>
        </is>
      </c>
      <c r="B132" t="inlineStr">
        <is>
          <t>E-21</t>
        </is>
      </c>
      <c r="C132" t="inlineStr">
        <is>
          <t>Harbourfield Retail</t>
        </is>
      </c>
      <c r="D132" t="inlineStr">
        <is>
          <t>CC-3900</t>
        </is>
      </c>
      <c r="E132" s="4" t="n">
        <v>54988.02</v>
      </c>
      <c r="F132" s="8" t="n">
        <v>46203</v>
      </c>
      <c r="G132" t="inlineStr">
        <is>
          <t>POSTED</t>
        </is>
      </c>
    </row>
    <row r="133">
      <c r="A133" t="inlineStr">
        <is>
          <t>ACC-00115</t>
        </is>
      </c>
      <c r="B133" t="inlineStr">
        <is>
          <t>E-21</t>
        </is>
      </c>
      <c r="C133" t="inlineStr">
        <is>
          <t>Harbourfield Retail</t>
        </is>
      </c>
      <c r="D133" t="inlineStr">
        <is>
          <t>CC-3900</t>
        </is>
      </c>
      <c r="E133" s="4" t="n">
        <v>340489.26</v>
      </c>
      <c r="F133" s="8" t="n">
        <v>46203</v>
      </c>
      <c r="G133" t="inlineStr">
        <is>
          <t>POSTED</t>
        </is>
      </c>
    </row>
    <row r="134">
      <c r="A134" t="inlineStr">
        <is>
          <t>ACC-00116</t>
        </is>
      </c>
      <c r="B134" t="inlineStr">
        <is>
          <t>E-21</t>
        </is>
      </c>
      <c r="C134" t="inlineStr">
        <is>
          <t>Harbourfield Retail</t>
        </is>
      </c>
      <c r="D134" t="inlineStr">
        <is>
          <t>CC-3900</t>
        </is>
      </c>
      <c r="E134" s="4" t="n">
        <v>116951.62</v>
      </c>
      <c r="F134" s="8" t="n">
        <v>46203</v>
      </c>
      <c r="G134" t="inlineStr">
        <is>
          <t>POSTED</t>
        </is>
      </c>
    </row>
    <row r="135">
      <c r="A135" t="inlineStr">
        <is>
          <t>ACC-00117</t>
        </is>
      </c>
      <c r="B135" t="inlineStr">
        <is>
          <t>E-21</t>
        </is>
      </c>
      <c r="C135" t="inlineStr">
        <is>
          <t>Harbourfield Retail</t>
        </is>
      </c>
      <c r="D135" t="inlineStr">
        <is>
          <t>CC-2400</t>
        </is>
      </c>
      <c r="E135" s="4" t="n">
        <v>291346.89</v>
      </c>
      <c r="F135" s="8" t="n">
        <v>46203</v>
      </c>
      <c r="G135" t="inlineStr">
        <is>
          <t>POSTED</t>
        </is>
      </c>
    </row>
    <row r="136">
      <c r="A136" t="inlineStr">
        <is>
          <t>ACC-00118</t>
        </is>
      </c>
      <c r="B136" t="inlineStr">
        <is>
          <t>E-21</t>
        </is>
      </c>
      <c r="C136" t="inlineStr">
        <is>
          <t>Harbourfield Retail</t>
        </is>
      </c>
      <c r="D136" t="inlineStr">
        <is>
          <t>CC-3900</t>
        </is>
      </c>
      <c r="E136" s="4" t="n">
        <v>386749.02</v>
      </c>
      <c r="F136" s="8" t="n">
        <v>46203</v>
      </c>
      <c r="G136" t="inlineStr">
        <is>
          <t>POSTED</t>
        </is>
      </c>
    </row>
    <row r="137">
      <c r="A137" t="inlineStr">
        <is>
          <t>ACC-00119</t>
        </is>
      </c>
      <c r="B137" t="inlineStr">
        <is>
          <t>E-21</t>
        </is>
      </c>
      <c r="C137" t="inlineStr">
        <is>
          <t>Harbourfield Retail</t>
        </is>
      </c>
      <c r="D137" t="inlineStr">
        <is>
          <t>CC-1100</t>
        </is>
      </c>
      <c r="E137" s="4" t="n">
        <v>87097.32000000001</v>
      </c>
      <c r="F137" s="8" t="n">
        <v>46203</v>
      </c>
      <c r="G137" t="inlineStr">
        <is>
          <t>POSTED</t>
        </is>
      </c>
    </row>
    <row r="138">
      <c r="A138" t="inlineStr">
        <is>
          <t>ACC-00120</t>
        </is>
      </c>
      <c r="B138" t="inlineStr">
        <is>
          <t>E-21</t>
        </is>
      </c>
      <c r="C138" t="inlineStr">
        <is>
          <t>Harbourfield Retail</t>
        </is>
      </c>
      <c r="D138" t="inlineStr">
        <is>
          <t>CC-2400</t>
        </is>
      </c>
      <c r="E138" s="4" t="n">
        <v>293796.6</v>
      </c>
      <c r="F138" s="8" t="n">
        <v>46203</v>
      </c>
      <c r="G138" t="inlineStr">
        <is>
          <t>POSTED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kedge fixture generator</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kedge fixture generator</cp:lastModifiedBy>
</cp:coreProperties>
</file>